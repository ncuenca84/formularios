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09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.estevez\Downloads\"/>
    </mc:Choice>
  </mc:AlternateContent>
  <xr:revisionPtr revIDLastSave="0" documentId="13_ncr:1_{B56C3C34-63DD-4CC0-8ADD-A0353166043A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olicitud_Anexo A" sheetId="1" r:id="rId1"/>
    <sheet name="Manual de uso" sheetId="4" state="hidden" r:id="rId2"/>
    <sheet name="DATOS" sheetId="2" state="hidden" r:id="rId3"/>
    <sheet name="COMPARTIDAS" sheetId="5" state="hidden" r:id="rId4"/>
  </sheets>
  <definedNames>
    <definedName name="_sop1">#REF!</definedName>
    <definedName name="_sop10">#REF!</definedName>
    <definedName name="_sop11">#REF!</definedName>
    <definedName name="_sop12">#REF!</definedName>
    <definedName name="_sop13">#REF!</definedName>
    <definedName name="_sop14">#REF!</definedName>
    <definedName name="_sop15">#REF!</definedName>
    <definedName name="_sop16">#REF!</definedName>
    <definedName name="_sop17">#REF!</definedName>
    <definedName name="_sop18">#REF!</definedName>
    <definedName name="_sop19">#REF!</definedName>
    <definedName name="_sop2">#REF!</definedName>
    <definedName name="_sop20">#REF!</definedName>
    <definedName name="_sop21">#REF!</definedName>
    <definedName name="_sop22">#REF!</definedName>
    <definedName name="_sop23">#REF!</definedName>
    <definedName name="_sop24">#REF!</definedName>
    <definedName name="_sop25">#REF!</definedName>
    <definedName name="_sop26">#REF!</definedName>
    <definedName name="_sop27">#REF!</definedName>
    <definedName name="_sop28">#REF!</definedName>
    <definedName name="_sop29">#REF!</definedName>
    <definedName name="_sop3">#REF!</definedName>
    <definedName name="_sop4">#REF!</definedName>
    <definedName name="_sop5">#REF!</definedName>
    <definedName name="_sop6">#REF!</definedName>
    <definedName name="_sop7">#REF!</definedName>
    <definedName name="_sop8">#REF!</definedName>
    <definedName name="_sop9">#REF!</definedName>
    <definedName name="_url1">'Solicitud_Anexo A'!#REF!</definedName>
    <definedName name="_url2">'Solicitud_Anexo A'!#REF!</definedName>
    <definedName name="ACCESO">DATOS!$F$2:$F$4</definedName>
    <definedName name="ADMINISTRADOR">DATOS!$H$2</definedName>
    <definedName name="_xlnm.Print_Area" localSheetId="1">'Manual de uso'!$A$2:$H$42</definedName>
    <definedName name="_xlnm.Print_Area" localSheetId="0">'Solicitud_Anexo A'!$A$1:$T$52</definedName>
    <definedName name="AUTORIZA">DATOS!$AC$2:$AC$3</definedName>
    <definedName name="COOR_INF">DATOS!$I$1</definedName>
    <definedName name="COORD_SOP">DATOS!$H$1</definedName>
    <definedName name="COORDINACION">DATOS!$J$2</definedName>
    <definedName name="DIR">DATOS!$AB$2:$AB$3</definedName>
    <definedName name="DIRECCION">DATOS!$A$2:$A$3</definedName>
    <definedName name="Dirección_de_Auditoría_de_Hidrocarburos_y_Control_Económico">DATOS!$AE$2:$AE$3</definedName>
    <definedName name="ELECTRICIDAD">DATOS!$AE$5:$AE$28</definedName>
    <definedName name="ELECTRICO">COMPARTIDAS!$E$3:$E$11</definedName>
    <definedName name="EQUIPO">DATOS!$G$2:$G$5</definedName>
    <definedName name="FECHAFINT">'Solicitud_Anexo A'!#REF!</definedName>
    <definedName name="FECHAFR">'Solicitud_Anexo A'!#REF!</definedName>
    <definedName name="FECHAI">'Solicitud_Anexo A'!#REF!</definedName>
    <definedName name="FECHAIIN">'Solicitud_Anexo A'!#REF!</definedName>
    <definedName name="FECHAIREDES">'Solicitud_Anexo A'!#REF!</definedName>
    <definedName name="HIDROCARBURIFERO">COMPARTIDAS!$G$3:$G$33</definedName>
    <definedName name="infra1">#REF!</definedName>
    <definedName name="infra2">#REF!</definedName>
    <definedName name="infra3">#REF!</definedName>
    <definedName name="infra4">#REF!</definedName>
    <definedName name="infra5">#REF!</definedName>
    <definedName name="infra6">#REF!</definedName>
    <definedName name="infra7">#REF!</definedName>
    <definedName name="infra8">#REF!</definedName>
    <definedName name="INFRAESTRUCTURA">DATOS!$I$2</definedName>
    <definedName name="JEFE">DATOS!$AA$7:$AA$9</definedName>
    <definedName name="JUSTPABA">'Solicitud_Anexo A'!#REF!</definedName>
    <definedName name="JUSTPERS">'Solicitud_Anexo A'!#REF!</definedName>
    <definedName name="JUSTPVIP">'Solicitud_Anexo A'!#REF!</definedName>
    <definedName name="MATRIZ_NIVEL_CENTRAL">DATOS!$C$2:$C$37</definedName>
    <definedName name="MINERO">COMPARTIDAS!$I$3:$I$40</definedName>
    <definedName name="NIVEL_DESCONCENTRADO_TERRITORIAL">DATOS!$D$2:$D$24</definedName>
    <definedName name="OPCION">DATOS!$B$2:$B$3</definedName>
    <definedName name="OTRO">COMPARTIDAS!$M$3:$M$4</definedName>
    <definedName name="PABA">'Solicitud_Anexo A'!#REF!</definedName>
    <definedName name="PERIN">'Solicitud_Anexo A'!#REF!</definedName>
    <definedName name="PERS">'Solicitud_Anexo A'!#REF!</definedName>
    <definedName name="POWERBI">DATOS!$C$3:$C$12</definedName>
    <definedName name="PVIP">'Solicitud_Anexo A'!#REF!</definedName>
    <definedName name="RAZONPER">DATOS!$A$6:$A$8</definedName>
    <definedName name="redexterna">#REF!</definedName>
    <definedName name="SBS">DATOS!$Z$2:$Z$3</definedName>
    <definedName name="SECTOR">COMPARTIDAS!$B$3:$B$6</definedName>
    <definedName name="SEDES">DATOS!$E$2:$E$15</definedName>
    <definedName name="SI">DATOS!$X$2:$X$9</definedName>
    <definedName name="SICOHI">DATOS!$P$2:$P$6</definedName>
    <definedName name="SISCOH">DATOS!$Q$2:$Q$19</definedName>
    <definedName name="SITRAN">DATOS!$Y$2</definedName>
    <definedName name="SMATRIZ">DATOS!$E$16</definedName>
    <definedName name="SMINERIA">DATOS!$AD$5:$AD$32</definedName>
    <definedName name="TARJETASI">DATOS!$AA$2:$AA$3</definedName>
    <definedName name="TIPOACCESS">DATOS!$A$6:$A$8</definedName>
    <definedName name="_xlnm.Print_Titles" localSheetId="1">'Manual de uso'!$1:$1</definedName>
    <definedName name="_xlnm.Print_Titles" localSheetId="0">'Solicitud_Anexo A'!$1:$1</definedName>
    <definedName name="VALOR">'Solicitud_Anexo A'!$C$33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/>
  <c r="C50" i="1"/>
  <c r="L49" i="1"/>
  <c r="C49" i="1"/>
  <c r="L48" i="1"/>
  <c r="C48" i="1"/>
  <c r="G6" i="1" l="1"/>
  <c r="E52" i="1" l="1"/>
  <c r="B9" i="1" l="1"/>
  <c r="L50" i="1" l="1"/>
  <c r="M9" i="1" l="1"/>
  <c r="I23" i="1"/>
  <c r="B14" i="1"/>
  <c r="R13" i="1"/>
  <c r="N13" i="1"/>
  <c r="J13" i="1"/>
  <c r="E13" i="1"/>
  <c r="I22" i="1" l="1"/>
  <c r="I21" i="1"/>
  <c r="I18" i="1"/>
  <c r="N39" i="1" l="1"/>
  <c r="S39" i="1" s="1"/>
  <c r="Q39" i="1" l="1"/>
  <c r="S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RCH</author>
    <author>José Luis Pilataxi Tenesaca</author>
    <author>Carolina Caceres</author>
    <author>Dajony R</author>
    <author>Enma Edith Salazar Orellana</author>
  </authors>
  <commentList>
    <comment ref="Q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Seleccione el cargo del Jefe Inmediato
</t>
        </r>
      </text>
    </comment>
    <comment ref="K18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Seleccione el módulo requerido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23" authorId="2" shapeId="0" xr:uid="{00000000-0006-0000-0000-000003000000}">
      <text>
        <r>
          <rPr>
            <b/>
            <sz val="9"/>
            <color indexed="81"/>
            <rFont val="Tahoma"/>
            <family val="2"/>
          </rPr>
          <t>Inserte el rol requerido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3" authorId="3" shapeId="0" xr:uid="{00000000-0006-0000-0000-000004000000}">
      <text>
        <r>
          <rPr>
            <sz val="9"/>
            <color indexed="81"/>
            <rFont val="Tahoma"/>
            <family val="2"/>
          </rPr>
          <t xml:space="preserve">Digite el nombre de la Coordinación o Dirección a la que pertenece.
</t>
        </r>
      </text>
    </comment>
    <comment ref="A35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Escriba el nombre de la carpeta a la que requiere acceder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3" authorId="4" shapeId="0" xr:uid="{00000000-0006-0000-0000-000006000000}">
      <text>
        <r>
          <rPr>
            <b/>
            <sz val="9"/>
            <color indexed="81"/>
            <rFont val="Tahoma"/>
            <family val="2"/>
          </rPr>
          <t>Enma Edith Salazar Orellana:</t>
        </r>
        <r>
          <rPr>
            <sz val="9"/>
            <color indexed="81"/>
            <rFont val="Tahoma"/>
            <family val="2"/>
          </rPr>
          <t xml:space="preserve">
Configurar para que se carguen automáticamente los datos del solicitante, analizar si debería ser igual al ítem 8. AUTORIZACIÓN del Formulario "Solicitud de accesos especiales"</t>
        </r>
      </text>
    </comment>
    <comment ref="P5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Seleccione el cargo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Seleccione: Matriz / Provincias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52" authorId="0" shapeId="0" xr:uid="{00000000-0006-0000-0000-000009000000}">
      <text>
        <r>
          <rPr>
            <sz val="9"/>
            <color indexed="81"/>
            <rFont val="Tahoma"/>
            <family val="2"/>
          </rPr>
          <t xml:space="preserve">Seleccionar la Coordinación / Dirección
</t>
        </r>
      </text>
    </comment>
  </commentList>
</comments>
</file>

<file path=xl/sharedStrings.xml><?xml version="1.0" encoding="utf-8"?>
<sst xmlns="http://schemas.openxmlformats.org/spreadsheetml/2006/main" count="530" uniqueCount="415">
  <si>
    <t>AGENCIA DE REGULACIÓN Y CONTROL DE ELECTRICIDAD
DIRECCIÓN DE TECNOLOGÍAS DE LA INFORMACIÓN Y COMUNICACIÓN
SOLICITUD DE ACCESO A LOS SISTEMAS INFORMÁTICOS</t>
  </si>
  <si>
    <t xml:space="preserve">Código:
Versión:
N° de Acta:
Fecha de aprobación: </t>
  </si>
  <si>
    <t>Datos</t>
  </si>
  <si>
    <t>Ver manual de uso</t>
  </si>
  <si>
    <t>Campo exclusivamente a ser llenado por DTIC</t>
  </si>
  <si>
    <t>Número de Ticket:</t>
  </si>
  <si>
    <t>1. DATOS DEL AUTORIZADOR</t>
  </si>
  <si>
    <t>Agencia</t>
  </si>
  <si>
    <t>MATRIZ_NIVEL_CENTRAL</t>
  </si>
  <si>
    <t>P - Dirección de Tecnologías de la Información y Comunicación</t>
  </si>
  <si>
    <t>Quito</t>
  </si>
  <si>
    <t>(Seleccione Nivel Central / Desconcentrado)</t>
  </si>
  <si>
    <t>Lugar/Ciudad</t>
  </si>
  <si>
    <t>Fecha</t>
  </si>
  <si>
    <t xml:space="preserve">portador de la cédula de ciudadanía Nro. </t>
  </si>
  <si>
    <t xml:space="preserve"> ,  en mi calidad de</t>
  </si>
  <si>
    <t>Director/a</t>
  </si>
  <si>
    <t>(Cargo del jefe inmediato)</t>
  </si>
  <si>
    <t>solicito entregar los credenciales de acceso/permisos a los Sistemas de Información/Servicios al servidor público cuyos datos personales detallo:</t>
  </si>
  <si>
    <t>2. DATOS DEL SOLICITANTE</t>
  </si>
  <si>
    <t>Nombres del servidor:</t>
  </si>
  <si>
    <t>Correo:</t>
  </si>
  <si>
    <t>@arconel.gob.ec</t>
  </si>
  <si>
    <t>Cargo:</t>
  </si>
  <si>
    <t>Nota: Todos los permisos anteriores que no se encuentren especificados en éste formulario serán desactivados.</t>
  </si>
  <si>
    <t>Teléfono y/o extensión:</t>
  </si>
  <si>
    <t>3. ACCESO A MÓDULO/S DEL/LOS SISTEMAS</t>
  </si>
  <si>
    <t>Electricidad</t>
  </si>
  <si>
    <t>SISDAT</t>
  </si>
  <si>
    <t>SIGCON</t>
  </si>
  <si>
    <t>Seleccione Rol:</t>
  </si>
  <si>
    <t>SNISPCB</t>
  </si>
  <si>
    <t>Seleccione SI/NO</t>
  </si>
  <si>
    <t>(</t>
  </si>
  <si>
    <t>)</t>
  </si>
  <si>
    <t>Coordinación/Dirección:</t>
  </si>
  <si>
    <r>
      <t>NOTA</t>
    </r>
    <r>
      <rPr>
        <i/>
        <sz val="7"/>
        <color indexed="8"/>
        <rFont val="Calibri"/>
        <family val="2"/>
      </rPr>
      <t xml:space="preserve">: La notificación de acceso será enviada a la dirección electrónica (e-mail) del funcionario solicitante. </t>
    </r>
  </si>
  <si>
    <t>4. ACCESO A CARPETAS COMPARTIDAS/REDES</t>
  </si>
  <si>
    <t>Archivos/Carpetas Compartidos</t>
  </si>
  <si>
    <t>Coordinación/Dirección</t>
  </si>
  <si>
    <t>NOMBRE DE LA CARPETA</t>
  </si>
  <si>
    <t>Lectura (L)/Escritura (E)</t>
  </si>
  <si>
    <t xml:space="preserve"> Periodo:</t>
  </si>
  <si>
    <t xml:space="preserve">Indefinido* (SI/NO)            </t>
  </si>
  <si>
    <t>NO</t>
  </si>
  <si>
    <t>dd/mm/aaaa</t>
  </si>
  <si>
    <t>E</t>
  </si>
  <si>
    <t>Desde</t>
  </si>
  <si>
    <t>Hasta</t>
  </si>
  <si>
    <t>(*) En caso de no ser Indefinido, indique la fecha final</t>
  </si>
  <si>
    <t>Observación:</t>
  </si>
  <si>
    <t>Autorización Principal</t>
  </si>
  <si>
    <t>Autorización adicional</t>
  </si>
  <si>
    <r>
      <t xml:space="preserve">Solicitado por:
</t>
    </r>
    <r>
      <rPr>
        <sz val="5"/>
        <color theme="1"/>
        <rFont val="Calibri"/>
        <family val="2"/>
        <scheme val="minor"/>
      </rPr>
      <t>Declaro conocer y hacerme cargo de los compromisos que asumo al acceder a los permisos y sistemas solicitados para usarlos como una herramienta de trabajo, así como de las implicaciones que conlleva un uso inadecuado del mismo.</t>
    </r>
  </si>
  <si>
    <r>
      <rPr>
        <b/>
        <i/>
        <sz val="7"/>
        <color theme="1"/>
        <rFont val="Calibri"/>
        <family val="2"/>
        <scheme val="minor"/>
      </rPr>
      <t>Autorizado por:</t>
    </r>
    <r>
      <rPr>
        <i/>
        <sz val="7"/>
        <color theme="1"/>
        <rFont val="Calibri"/>
        <family val="2"/>
        <scheme val="minor"/>
      </rPr>
      <t xml:space="preserve">
</t>
    </r>
    <r>
      <rPr>
        <i/>
        <sz val="5"/>
        <color theme="1"/>
        <rFont val="Calibri"/>
        <family val="2"/>
        <scheme val="minor"/>
      </rPr>
      <t>Declaro conocer y hacerme cargo de los compromisos que asumo al autorizar la presente solicitud.</t>
    </r>
  </si>
  <si>
    <r>
      <t xml:space="preserve">Autorizado por:
</t>
    </r>
    <r>
      <rPr>
        <i/>
        <sz val="5"/>
        <color theme="1"/>
        <rFont val="Calibri"/>
        <family val="2"/>
        <scheme val="minor"/>
      </rPr>
      <t>Declaro conocer y hacerme cargo de los compromisos que asumo al autorizar la presente solicitud.</t>
    </r>
  </si>
  <si>
    <t>Firma:</t>
  </si>
  <si>
    <t>Nombres:</t>
  </si>
  <si>
    <t>C.C.:</t>
  </si>
  <si>
    <t>Agencia:</t>
  </si>
  <si>
    <r>
      <rPr>
        <b/>
        <sz val="11"/>
        <color indexed="8"/>
        <rFont val="Calibri"/>
        <family val="2"/>
      </rPr>
      <t>Manual de Uso:" INDICACIONES PARA LLENAR FORMATO SOLICITUD DE ACCESO A LOS SISTEMAS INFORMÁTICOS"</t>
    </r>
    <r>
      <rPr>
        <sz val="11"/>
        <color theme="1"/>
        <rFont val="Calibri"/>
        <family val="2"/>
        <scheme val="minor"/>
      </rPr>
      <t xml:space="preserve">
</t>
    </r>
    <r>
      <rPr>
        <sz val="10"/>
        <color indexed="8"/>
        <rFont val="Calibri"/>
        <family val="2"/>
      </rPr>
      <t>ARCERNNR-GTI.XX.IT.XX</t>
    </r>
    <r>
      <rPr>
        <sz val="11"/>
        <color theme="1"/>
        <rFont val="Calibri"/>
        <family val="2"/>
        <scheme val="minor"/>
      </rPr>
      <t xml:space="preserve">
</t>
    </r>
    <r>
      <rPr>
        <sz val="9"/>
        <color indexed="8"/>
        <rFont val="Calibri"/>
        <family val="2"/>
      </rPr>
      <t>Acta de Aprobación: XXXX    Fecha de Aprobación: XX-XX-XXXX</t>
    </r>
  </si>
  <si>
    <t>Regresar al formulario</t>
  </si>
  <si>
    <t>Sección 1</t>
  </si>
  <si>
    <t>Datos del autorizador</t>
  </si>
  <si>
    <t>Registre la información del jefe inmediato como responsable de autorizar los permisos.</t>
  </si>
  <si>
    <r>
      <rPr>
        <b/>
        <sz val="11"/>
        <color indexed="8"/>
        <rFont val="Calibri"/>
        <family val="2"/>
      </rPr>
      <t xml:space="preserve">Recuerda </t>
    </r>
    <r>
      <rPr>
        <sz val="11"/>
        <color theme="1"/>
        <rFont val="Calibri"/>
        <family val="2"/>
        <scheme val="minor"/>
      </rPr>
      <t>que el Coordinador / Director autoriza los accesos informáticos a  Especialistas, Analistas y Técnicos.</t>
    </r>
  </si>
  <si>
    <t>Sección 2</t>
  </si>
  <si>
    <t>Datos del Solicitante</t>
  </si>
  <si>
    <t>Ingresa la datos de quien requiere los accesos informáticos.</t>
  </si>
  <si>
    <r>
      <rPr>
        <b/>
        <sz val="11"/>
        <color indexed="8"/>
        <rFont val="Calibri"/>
        <family val="2"/>
      </rPr>
      <t xml:space="preserve">Recuerda </t>
    </r>
    <r>
      <rPr>
        <sz val="11"/>
        <color indexed="8"/>
        <rFont val="Calibri"/>
        <family val="2"/>
      </rPr>
      <t xml:space="preserve"> debes registrar todos los permisos de los sistemas y roles que necesitas, ya que todos los que no están detallados en éste formulario serán eliminados.</t>
    </r>
  </si>
  <si>
    <r>
      <rPr>
        <b/>
        <sz val="11"/>
        <color indexed="8"/>
        <rFont val="Calibri"/>
        <family val="2"/>
      </rPr>
      <t xml:space="preserve">Recuerda: </t>
    </r>
    <r>
      <rPr>
        <sz val="11"/>
        <color theme="1"/>
        <rFont val="Calibri"/>
        <family val="2"/>
        <scheme val="minor"/>
      </rPr>
      <t>No te olvides de ingresar correctamente el número de teléfono y/o extensión, en caso que el técnico requiera comunicase.</t>
    </r>
  </si>
  <si>
    <t>Sección 3</t>
  </si>
  <si>
    <t>ACCESO A MÓDULO/S DEL/LOS SISTEMA/S</t>
  </si>
  <si>
    <t>Seleccione el/los módulo/s del/los sistema/s que requiere acceso para realizar sus actividades.</t>
  </si>
  <si>
    <t xml:space="preserve">Para registrar  el/los módulo/s del sistema que requiere los accesos, usted debe:
1. Dar clic Seleccionar de la lista desplegable que tiene cada celda de registro y luego dar clic sobre este </t>
  </si>
  <si>
    <t xml:space="preserve">
1. Dar clic sobre le botón              que aparece en la parte derecha de cada selección</t>
  </si>
  <si>
    <t>2. Seleccionar  el módulo que requiere acceso y, luego dar clic o Enter sobre este.</t>
  </si>
  <si>
    <t>Para los siguientes módulos , usted previamente deberá escoger la opción Si  para seleccionar acceso</t>
  </si>
  <si>
    <t>Sección 4</t>
  </si>
  <si>
    <t>Carpetas Compartidas</t>
  </si>
  <si>
    <t>1. Digite el nombre de  la carpeta   a la que desea acceder.</t>
  </si>
  <si>
    <t>2. Seleccione el tipo de permiso lectura(L) o escritura (E).</t>
  </si>
  <si>
    <t xml:space="preserve">2. Seleccione el periodo, en el caso de no ser indefinido, digite la fecha desde(inicio del permiso) 
y hasta(final del permiso).
</t>
  </si>
  <si>
    <t>Importante: Este documento es de uso obligatorio para los 3 sectores de la Institución(Electricidad, Minería e Hidrocarburos) y para todos los funcionarios que requieran acceso a los diferentes sistemas y servicios de la ARC.</t>
  </si>
  <si>
    <t>NIVELES</t>
  </si>
  <si>
    <t>OPCIÓN</t>
  </si>
  <si>
    <t>NIVEL_DESCONCENTRADO_TERRITORIAL</t>
  </si>
  <si>
    <t>CIUDAD</t>
  </si>
  <si>
    <t>ACCESO</t>
  </si>
  <si>
    <t>EQUIPO</t>
  </si>
  <si>
    <t>Coordinador Gestión de Soporte y Help Desk</t>
  </si>
  <si>
    <t xml:space="preserve">Coordinador Gestión de Redes y Comunicaciones </t>
  </si>
  <si>
    <t>COORDINACIÓN</t>
  </si>
  <si>
    <t>PASSWORD</t>
  </si>
  <si>
    <t>Sistemas</t>
  </si>
  <si>
    <t>Tipo de software</t>
  </si>
  <si>
    <t>Nombre de software</t>
  </si>
  <si>
    <t xml:space="preserve">SICOHI 
</t>
  </si>
  <si>
    <t xml:space="preserve">SISCOH 
</t>
  </si>
  <si>
    <t>SITRANS</t>
  </si>
  <si>
    <t>SBS</t>
  </si>
  <si>
    <t xml:space="preserve">Tarjetas Inteligentes  
</t>
  </si>
  <si>
    <t xml:space="preserve">STC </t>
  </si>
  <si>
    <t xml:space="preserve">Discoverer </t>
  </si>
  <si>
    <t>POWER BI</t>
  </si>
  <si>
    <t>Roles</t>
  </si>
  <si>
    <t>TARJETASI</t>
  </si>
  <si>
    <t>DIR</t>
  </si>
  <si>
    <t>SI</t>
  </si>
  <si>
    <t>Dirección de Auditoría de Hidrocarburos y Control Económico</t>
  </si>
  <si>
    <t>Dirección Ejecutiva</t>
  </si>
  <si>
    <t>Dirección de Regulación y Normativa</t>
  </si>
  <si>
    <r>
      <t>Dirección</t>
    </r>
    <r>
      <rPr>
        <sz val="11"/>
        <color indexed="9"/>
        <rFont val="Calibri"/>
        <family val="2"/>
      </rPr>
      <t>_</t>
    </r>
    <r>
      <rPr>
        <sz val="11"/>
        <color theme="1"/>
        <rFont val="Calibri"/>
        <family val="2"/>
        <scheme val="minor"/>
      </rPr>
      <t>de</t>
    </r>
    <r>
      <rPr>
        <sz val="11"/>
        <color indexed="9"/>
        <rFont val="Calibri"/>
        <family val="2"/>
      </rPr>
      <t>_</t>
    </r>
    <r>
      <rPr>
        <sz val="11"/>
        <color theme="1"/>
        <rFont val="Calibri"/>
        <family val="2"/>
        <scheme val="minor"/>
      </rPr>
      <t>Auditoría</t>
    </r>
    <r>
      <rPr>
        <sz val="11"/>
        <color indexed="9"/>
        <rFont val="Calibri"/>
        <family val="2"/>
      </rPr>
      <t>_</t>
    </r>
    <r>
      <rPr>
        <sz val="11"/>
        <color theme="1"/>
        <rFont val="Calibri"/>
        <family val="2"/>
        <scheme val="minor"/>
      </rPr>
      <t>de</t>
    </r>
    <r>
      <rPr>
        <sz val="11"/>
        <color indexed="9"/>
        <rFont val="Calibri"/>
        <family val="2"/>
      </rPr>
      <t>_</t>
    </r>
    <r>
      <rPr>
        <sz val="11"/>
        <color theme="1"/>
        <rFont val="Calibri"/>
        <family val="2"/>
        <scheme val="minor"/>
      </rPr>
      <t>Hidrocarburos</t>
    </r>
    <r>
      <rPr>
        <sz val="11"/>
        <color indexed="9"/>
        <rFont val="Calibri"/>
        <family val="2"/>
      </rPr>
      <t>_</t>
    </r>
    <r>
      <rPr>
        <sz val="11"/>
        <color theme="1"/>
        <rFont val="Calibri"/>
        <family val="2"/>
        <scheme val="minor"/>
      </rPr>
      <t>y</t>
    </r>
    <r>
      <rPr>
        <sz val="11"/>
        <color indexed="9"/>
        <rFont val="Calibri"/>
        <family val="2"/>
      </rPr>
      <t>_</t>
    </r>
    <r>
      <rPr>
        <sz val="11"/>
        <color theme="1"/>
        <rFont val="Calibri"/>
        <family val="2"/>
        <scheme val="minor"/>
      </rPr>
      <t>Control</t>
    </r>
    <r>
      <rPr>
        <sz val="11"/>
        <color indexed="9"/>
        <rFont val="Calibri"/>
        <family val="2"/>
      </rPr>
      <t>_</t>
    </r>
    <r>
      <rPr>
        <sz val="11"/>
        <color theme="1"/>
        <rFont val="Calibri"/>
        <family val="2"/>
        <scheme val="minor"/>
      </rPr>
      <t>Económico</t>
    </r>
  </si>
  <si>
    <t>Centro de Monitoreo y Control Hidrocarburífero</t>
  </si>
  <si>
    <t>Dirección de Control Técnico de Hidrocarburos</t>
  </si>
  <si>
    <t>Dirección de Control Técnico de Combustibles</t>
  </si>
  <si>
    <t>Dirección de Planificación y Gestión Estratégica</t>
  </si>
  <si>
    <t>Dirección Administrativa Financiera</t>
  </si>
  <si>
    <t>Dirección de Asesoría Jurídica</t>
  </si>
  <si>
    <t>Dirección de Comunicación Social</t>
  </si>
  <si>
    <t>Dirección de Tecnología de Información y Comunicaciones</t>
  </si>
  <si>
    <t>Dirección Agencia Regional Sucumbíos</t>
  </si>
  <si>
    <t>Dirección Agencia Regional Norte</t>
  </si>
  <si>
    <t>Dirección Agencia Regional Esmeraldas</t>
  </si>
  <si>
    <t>Dirección Agencia Regional Centro Oriente</t>
  </si>
  <si>
    <t xml:space="preserve">Dirección Agencia Regional Centro </t>
  </si>
  <si>
    <t>Dirección Agencia Regional Manabí</t>
  </si>
  <si>
    <t>Dirección Agencia Regional Santo Domingo de los Tsáchilas</t>
  </si>
  <si>
    <t>Dirección Agencia Regional Guayas</t>
  </si>
  <si>
    <t>Dirección Agencia Regional Península</t>
  </si>
  <si>
    <t>Dirección Agencia Regional Galápagos</t>
  </si>
  <si>
    <t>Dirección Agencia Regional Azuay</t>
  </si>
  <si>
    <t>Dirección Agencia Regional El Oro</t>
  </si>
  <si>
    <t>Dirección Agencia Regional Loja</t>
  </si>
  <si>
    <t>Dirección Agencia Regional Zamora</t>
  </si>
  <si>
    <t>SICOHI File Manager</t>
  </si>
  <si>
    <t>STC</t>
  </si>
  <si>
    <t>A - Coordinación Administrativa Financiera</t>
  </si>
  <si>
    <t>DD - Dirección Distrital Azuay</t>
  </si>
  <si>
    <t>Cuenca</t>
  </si>
  <si>
    <t>L</t>
  </si>
  <si>
    <t>D</t>
  </si>
  <si>
    <t>Pablo Mena</t>
  </si>
  <si>
    <t>Xavier Tirado</t>
  </si>
  <si>
    <t>Coordinador de la Gestión de Administradores de Servidores  y  Base de Datos</t>
  </si>
  <si>
    <t xml:space="preserve">(Sistema de escritorio) </t>
  </si>
  <si>
    <t>Módulo GLP (Centros acopio, instalaciones centralizadas y transporte de cilindros)</t>
  </si>
  <si>
    <r>
      <t xml:space="preserve">Módulo Comercialización CLDH (perfil </t>
    </r>
    <r>
      <rPr>
        <b/>
        <sz val="7.5"/>
        <color theme="1"/>
        <rFont val="Calibri"/>
        <family val="2"/>
        <scheme val="minor"/>
      </rPr>
      <t>Super A</t>
    </r>
    <r>
      <rPr>
        <b/>
        <sz val="7.5"/>
        <color indexed="8"/>
        <rFont val="Calibri"/>
        <family val="2"/>
      </rPr>
      <t>dministrador</t>
    </r>
    <r>
      <rPr>
        <sz val="7.5"/>
        <color indexed="8"/>
        <rFont val="Calibri"/>
        <family val="2"/>
      </rPr>
      <t xml:space="preserve">) </t>
    </r>
  </si>
  <si>
    <t>Proveedor</t>
  </si>
  <si>
    <t>Módulo de  Transporte (perfil Administrador)</t>
  </si>
  <si>
    <r>
      <t xml:space="preserve">Módulo de Registro  de suministros de oficina (perfil </t>
    </r>
    <r>
      <rPr>
        <b/>
        <sz val="7.5"/>
        <color indexed="8"/>
        <rFont val="Calibri"/>
        <family val="2"/>
      </rPr>
      <t>Bodeguero</t>
    </r>
    <r>
      <rPr>
        <sz val="7.5"/>
        <color indexed="8"/>
        <rFont val="Calibri"/>
        <family val="2"/>
      </rPr>
      <t>)</t>
    </r>
  </si>
  <si>
    <r>
      <t xml:space="preserve">Perfil </t>
    </r>
    <r>
      <rPr>
        <b/>
        <sz val="7.5"/>
        <color indexed="8"/>
        <rFont val="Calibri"/>
        <family val="2"/>
      </rPr>
      <t>Empadronador</t>
    </r>
  </si>
  <si>
    <t>DIRECTOR/A</t>
  </si>
  <si>
    <t>DELEGADO DE SEGURIDAD DE LA INFORMACIÓN DTICS</t>
  </si>
  <si>
    <t>Auditoría de Hidrocarburos</t>
  </si>
  <si>
    <t>1.- ANALISTAS RECONOCIDOS SAE</t>
  </si>
  <si>
    <t>DCTH_CE</t>
  </si>
  <si>
    <t>DCTC_DTIC</t>
  </si>
  <si>
    <t>GESTION DE CAMBIO Y CULTURA ORGANIZATIVA</t>
  </si>
  <si>
    <t>DAF_GD</t>
  </si>
  <si>
    <t>ASESORIA JURIDICA</t>
  </si>
  <si>
    <t>DIRCOM 2018</t>
  </si>
  <si>
    <t>01 ORDENAR</t>
  </si>
  <si>
    <t>Exploración y Explotación</t>
  </si>
  <si>
    <r>
      <t xml:space="preserve">Módulo Administración de Usuarios Inspectores- Perfil </t>
    </r>
    <r>
      <rPr>
        <b/>
        <sz val="11"/>
        <color theme="1"/>
        <rFont val="Calibri"/>
        <family val="2"/>
        <scheme val="minor"/>
      </rPr>
      <t>Administrador</t>
    </r>
  </si>
  <si>
    <r>
      <t xml:space="preserve">Módulo Administración- Perfil </t>
    </r>
    <r>
      <rPr>
        <b/>
        <sz val="11"/>
        <color theme="1"/>
        <rFont val="Calibri"/>
        <family val="2"/>
        <scheme val="minor"/>
      </rPr>
      <t>Consulta Regionales</t>
    </r>
    <r>
      <rPr>
        <sz val="11"/>
        <color theme="1"/>
        <rFont val="Calibri"/>
        <family val="2"/>
        <scheme val="minor"/>
      </rPr>
      <t xml:space="preserve">  </t>
    </r>
  </si>
  <si>
    <t>A - Dirección Administrativa</t>
  </si>
  <si>
    <t>DD - Dirección Distrital Guayas</t>
  </si>
  <si>
    <t>Guayaquil</t>
  </si>
  <si>
    <t>8.Dtic</t>
  </si>
  <si>
    <t>Actual</t>
  </si>
  <si>
    <t>(Sistema web)</t>
  </si>
  <si>
    <t>Módulo TA (Autotanques)</t>
  </si>
  <si>
    <r>
      <t xml:space="preserve">Módulo Comercialización CLDH (Autorizar cuantías domésticas perfil </t>
    </r>
    <r>
      <rPr>
        <b/>
        <sz val="7.5"/>
        <color indexed="8"/>
        <rFont val="Calibri"/>
        <family val="2"/>
      </rPr>
      <t>Administrador</t>
    </r>
    <r>
      <rPr>
        <sz val="7.5"/>
        <color indexed="8"/>
        <rFont val="Calibri"/>
        <family val="2"/>
      </rPr>
      <t xml:space="preserve">) </t>
    </r>
  </si>
  <si>
    <t>Consulta ARCH</t>
  </si>
  <si>
    <r>
      <t xml:space="preserve">Módulo de Registro  de suministros de oficina (perfil </t>
    </r>
    <r>
      <rPr>
        <b/>
        <sz val="7.5"/>
        <color indexed="8"/>
        <rFont val="Calibri"/>
        <family val="2"/>
      </rPr>
      <t>Solicitante)</t>
    </r>
  </si>
  <si>
    <r>
      <t xml:space="preserve">Perfil </t>
    </r>
    <r>
      <rPr>
        <b/>
        <sz val="7.5"/>
        <color indexed="8"/>
        <rFont val="Calibri"/>
        <family val="2"/>
      </rPr>
      <t>Administrador</t>
    </r>
  </si>
  <si>
    <t>Control Economico</t>
  </si>
  <si>
    <t>2.- INSPECTORES RECONOCIDOS SAE</t>
  </si>
  <si>
    <t>DCTH_EE</t>
  </si>
  <si>
    <t>DCTC_TA</t>
  </si>
  <si>
    <t>GESTIÓN DE PLANIFICACIÓN</t>
  </si>
  <si>
    <t>DAF_GRF</t>
  </si>
  <si>
    <t>BIBLIOTECA JURIDICA</t>
  </si>
  <si>
    <t>CALIDAD</t>
  </si>
  <si>
    <t>Transporte y Almacenamiento</t>
  </si>
  <si>
    <r>
      <t xml:space="preserve">Módulo Administración de Usuarios Operadoras- Perfil </t>
    </r>
    <r>
      <rPr>
        <b/>
        <sz val="11"/>
        <color theme="1"/>
        <rFont val="Calibri"/>
        <family val="2"/>
        <scheme val="minor"/>
      </rPr>
      <t>Funcionarios</t>
    </r>
  </si>
  <si>
    <r>
      <t xml:space="preserve">Módulo Administración- Perfil </t>
    </r>
    <r>
      <rPr>
        <b/>
        <sz val="11"/>
        <color theme="1"/>
        <rFont val="Calibri"/>
        <family val="2"/>
        <scheme val="minor"/>
      </rPr>
      <t>CLDH</t>
    </r>
  </si>
  <si>
    <t>A - Dirección de Administración del Talento Humano</t>
  </si>
  <si>
    <t>DD - Dirección Distrital Manabí</t>
  </si>
  <si>
    <t>Manta</t>
  </si>
  <si>
    <t>DM</t>
  </si>
  <si>
    <t>Módulo RI (Refinación e industrialización)</t>
  </si>
  <si>
    <r>
      <t xml:space="preserve">Módulo de Comercialización CLDH  (Evaluar cuantías domésticas perfil </t>
    </r>
    <r>
      <rPr>
        <b/>
        <sz val="7.5"/>
        <color indexed="8"/>
        <rFont val="Calibri"/>
        <family val="2"/>
      </rPr>
      <t>Funcionario</t>
    </r>
    <r>
      <rPr>
        <sz val="7.5"/>
        <color indexed="8"/>
        <rFont val="Calibri"/>
        <family val="2"/>
      </rPr>
      <t>)</t>
    </r>
  </si>
  <si>
    <t>Administración ARCH</t>
  </si>
  <si>
    <r>
      <t>Módulo de Facturación Electrónica (</t>
    </r>
    <r>
      <rPr>
        <b/>
        <sz val="7.5"/>
        <color theme="1"/>
        <rFont val="Calibri"/>
        <family val="2"/>
        <scheme val="minor"/>
      </rPr>
      <t>perfil Solicitante</t>
    </r>
    <r>
      <rPr>
        <sz val="7.5"/>
        <color theme="1"/>
        <rFont val="Calibri"/>
        <family val="2"/>
        <scheme val="minor"/>
      </rPr>
      <t>)</t>
    </r>
  </si>
  <si>
    <t>SISTEMAS MINERIA</t>
  </si>
  <si>
    <t>SISTEMAS ELECTRICOS</t>
  </si>
  <si>
    <t>3.- TÉCNICOS DE CALIBRACIÓN RECONOCIDOS SAE</t>
  </si>
  <si>
    <t>DCTH_ESTADISTICA</t>
  </si>
  <si>
    <t>DCDTC_CLDH</t>
  </si>
  <si>
    <t>GESTIÓN DE SEGUIMIENTO</t>
  </si>
  <si>
    <t>DAF_GRM</t>
  </si>
  <si>
    <t>COACTIVAS</t>
  </si>
  <si>
    <t>DESARROLLO</t>
  </si>
  <si>
    <t>Comercialización</t>
  </si>
  <si>
    <r>
      <t xml:space="preserve">Múdolo SICOHI File Manage - Perfil </t>
    </r>
    <r>
      <rPr>
        <b/>
        <sz val="11"/>
        <color theme="1"/>
        <rFont val="Calibri"/>
        <family val="2"/>
        <scheme val="minor"/>
      </rPr>
      <t>Inspector</t>
    </r>
  </si>
  <si>
    <r>
      <t xml:space="preserve">módulo Administración- perfil </t>
    </r>
    <r>
      <rPr>
        <b/>
        <sz val="11"/>
        <color theme="1"/>
        <rFont val="Calibri"/>
        <family val="2"/>
        <scheme val="minor"/>
      </rPr>
      <t>GLP</t>
    </r>
  </si>
  <si>
    <t>TIPOACCESS</t>
  </si>
  <si>
    <t>A - Dirección Financiera</t>
  </si>
  <si>
    <t>N/A</t>
  </si>
  <si>
    <t>Módulo EE (Exploración y explotación)</t>
  </si>
  <si>
    <r>
      <t xml:space="preserve">Módulo Control Financiero SICOFI (Cargar transacciones bancarias - perfil </t>
    </r>
    <r>
      <rPr>
        <b/>
        <sz val="7.5"/>
        <color theme="1"/>
        <rFont val="Calibri"/>
        <family val="2"/>
        <scheme val="minor"/>
      </rPr>
      <t>Administradores</t>
    </r>
    <r>
      <rPr>
        <sz val="7.5"/>
        <color theme="1"/>
        <rFont val="Calibri"/>
        <family val="2"/>
        <scheme val="minor"/>
      </rPr>
      <t>)</t>
    </r>
  </si>
  <si>
    <t>Administración CLDH</t>
  </si>
  <si>
    <t>Rol Abogado</t>
  </si>
  <si>
    <t>Administración del proceso</t>
  </si>
  <si>
    <t>4.- RESOLUCIONES</t>
  </si>
  <si>
    <t>DCTH_RI</t>
  </si>
  <si>
    <t>GESTIÓN DE SERVICIOS Y PROCESOS</t>
  </si>
  <si>
    <t>DAF_GTH</t>
  </si>
  <si>
    <t>TIH</t>
  </si>
  <si>
    <t>DIRECCION</t>
  </si>
  <si>
    <t>Transferencia</t>
  </si>
  <si>
    <r>
      <t xml:space="preserve">Módulo Administración- Perfil  </t>
    </r>
    <r>
      <rPr>
        <b/>
        <sz val="11"/>
        <color theme="1"/>
        <rFont val="Calibri"/>
        <family val="2"/>
        <scheme val="minor"/>
      </rPr>
      <t>Crear  / Activar Placas</t>
    </r>
  </si>
  <si>
    <t>Activación de Accesos</t>
  </si>
  <si>
    <t>C - Coordinación Nacional de Control Eléctrico</t>
  </si>
  <si>
    <t>Módulo CLDH (Estaciones de servicio)</t>
  </si>
  <si>
    <r>
      <t xml:space="preserve">Módulo Control Financiero SICOFI (Emitir facturas - perfil </t>
    </r>
    <r>
      <rPr>
        <b/>
        <sz val="7.5"/>
        <color theme="1"/>
        <rFont val="Calibri"/>
        <family val="2"/>
        <scheme val="minor"/>
      </rPr>
      <t>Facturador</t>
    </r>
    <r>
      <rPr>
        <sz val="7.5"/>
        <color theme="1"/>
        <rFont val="Calibri"/>
        <family val="2"/>
        <scheme val="minor"/>
      </rPr>
      <t xml:space="preserve">)
</t>
    </r>
  </si>
  <si>
    <t>Administración GLP</t>
  </si>
  <si>
    <t>JEFE</t>
  </si>
  <si>
    <t>Rol Abogado de la Subsecretaria de Minas</t>
  </si>
  <si>
    <t>Recepción de datos</t>
  </si>
  <si>
    <t>5.- BASE DE DATOS-NUMEROS CONTROL INSPECTORES-ANALISTAS</t>
  </si>
  <si>
    <t>INF.AÑOS ANTERIORES</t>
  </si>
  <si>
    <t>EGSI</t>
  </si>
  <si>
    <t>Actualización de Accesos</t>
  </si>
  <si>
    <t>C - Dirección Técnica de Control de Comercialización</t>
  </si>
  <si>
    <t xml:space="preserve">Trazabilidad Comercial
STC </t>
  </si>
  <si>
    <r>
      <t xml:space="preserve">Módulo Control Financiero SICOFI (Registrar pagos perfil </t>
    </r>
    <r>
      <rPr>
        <b/>
        <sz val="7.5"/>
        <color indexed="8"/>
        <rFont val="Calibri"/>
        <family val="2"/>
      </rPr>
      <t>Funcionario</t>
    </r>
    <r>
      <rPr>
        <sz val="7.5"/>
        <color indexed="8"/>
        <rFont val="Calibri"/>
        <family val="2"/>
      </rPr>
      <t>)</t>
    </r>
  </si>
  <si>
    <t>Consulta Arch Regional</t>
  </si>
  <si>
    <t>Rol Administrador GAD</t>
  </si>
  <si>
    <t>Emisión de reportes</t>
  </si>
  <si>
    <t>6.- check list OEC</t>
  </si>
  <si>
    <t>INFRAESTRUCTURA</t>
  </si>
  <si>
    <t>Cambio de Accesos</t>
  </si>
  <si>
    <t>C - Dirección Técnica de Control de Distribución</t>
  </si>
  <si>
    <t>Herramienta de reportes</t>
  </si>
  <si>
    <r>
      <t xml:space="preserve">Módulo Comercialización GLP (Parametrizar actas perfil </t>
    </r>
    <r>
      <rPr>
        <b/>
        <sz val="7.5"/>
        <color indexed="8"/>
        <rFont val="Calibri"/>
        <family val="2"/>
      </rPr>
      <t>Administrador</t>
    </r>
    <r>
      <rPr>
        <sz val="7.5"/>
        <color indexed="8"/>
        <rFont val="Calibri"/>
        <family val="2"/>
      </rPr>
      <t xml:space="preserve">) </t>
    </r>
  </si>
  <si>
    <t>Activar Placas</t>
  </si>
  <si>
    <t>Director/a Ejecutivo/a</t>
  </si>
  <si>
    <t>Rol Administrador GPS</t>
  </si>
  <si>
    <t>Administración del sistema</t>
  </si>
  <si>
    <t>7.- PLANTILLA DE NUEVAS CREDENCIALES</t>
  </si>
  <si>
    <t>PROYECTOS</t>
  </si>
  <si>
    <t>C - Dirección Técnica de Control de Generación y Transmisión</t>
  </si>
  <si>
    <t>Herramienta de reportes dinámicos</t>
  </si>
  <si>
    <r>
      <t xml:space="preserve">Módulo Comercialización GLP (Registrar y aprobar de actas y generar control anual perfil </t>
    </r>
    <r>
      <rPr>
        <b/>
        <sz val="7.5"/>
        <color indexed="8"/>
        <rFont val="Calibri"/>
        <family val="2"/>
      </rPr>
      <t>Funcionario</t>
    </r>
    <r>
      <rPr>
        <sz val="7.5"/>
        <color indexed="8"/>
        <rFont val="Calibri"/>
        <family val="2"/>
      </rPr>
      <t xml:space="preserve">) </t>
    </r>
  </si>
  <si>
    <t>Placa - Crear</t>
  </si>
  <si>
    <t>Coordinador/a</t>
  </si>
  <si>
    <t>Rol Agente Aduanero</t>
  </si>
  <si>
    <t>Proyectos y contratos</t>
  </si>
  <si>
    <t>8.- CERTIFICADOS AUTORIZACIONES PUNTUALES</t>
  </si>
  <si>
    <t>SOPORTE</t>
  </si>
  <si>
    <r>
      <t xml:space="preserve">Módulo Comercialización GLP (Registrar actas perfil </t>
    </r>
    <r>
      <rPr>
        <b/>
        <sz val="7.5"/>
        <color indexed="8"/>
        <rFont val="Calibri"/>
        <family val="2"/>
      </rPr>
      <t>Inspector</t>
    </r>
    <r>
      <rPr>
        <sz val="7.5"/>
        <color indexed="8"/>
        <rFont val="Calibri"/>
        <family val="2"/>
      </rPr>
      <t xml:space="preserve">) </t>
    </r>
  </si>
  <si>
    <t>Rol Asistente Talento Humano</t>
  </si>
  <si>
    <t>Reporteria ODBC</t>
  </si>
  <si>
    <t>9.- Organismos de inspección-laboratorios-WEB</t>
  </si>
  <si>
    <t>G - Dirección de Gestión Documental y Archivo</t>
  </si>
  <si>
    <r>
      <t xml:space="preserve">Módulo Control Financiero SICOFI (Gestión de usuarios inspectores, Transacciones Bancarias - perfil </t>
    </r>
    <r>
      <rPr>
        <b/>
        <sz val="7.5"/>
        <color theme="1"/>
        <rFont val="Calibri"/>
        <family val="2"/>
        <scheme val="minor"/>
      </rPr>
      <t>Administradores</t>
    </r>
    <r>
      <rPr>
        <sz val="7.5"/>
        <color theme="1"/>
        <rFont val="Calibri"/>
        <family val="2"/>
        <scheme val="minor"/>
      </rPr>
      <t>)</t>
    </r>
  </si>
  <si>
    <t>Rol Auditor GAD</t>
  </si>
  <si>
    <t>Secretaría General</t>
  </si>
  <si>
    <t>10.- CALIFICACIÓN LABORATORIOS PAM</t>
  </si>
  <si>
    <t>J - Coordinación de Asesoría Jurídica</t>
  </si>
  <si>
    <r>
      <t xml:space="preserve">Módulo Control Financiero SICOFI (Emisión de Facturas - perfil </t>
    </r>
    <r>
      <rPr>
        <b/>
        <sz val="7.5"/>
        <color theme="1"/>
        <rFont val="Calibri"/>
        <family val="2"/>
        <scheme val="minor"/>
      </rPr>
      <t>Facturador</t>
    </r>
    <r>
      <rPr>
        <sz val="7.5"/>
        <color theme="1"/>
        <rFont val="Calibri"/>
        <family val="2"/>
        <scheme val="minor"/>
      </rPr>
      <t>)</t>
    </r>
  </si>
  <si>
    <t>Rol Catastro Nacional - Consulta</t>
  </si>
  <si>
    <t>Técnico</t>
  </si>
  <si>
    <t>11.- CERTIFICADOS DE TANQUES POR EL INEN</t>
  </si>
  <si>
    <t>J - Dirección de Asesoría Jurídica y Patrocinio Judicial</t>
  </si>
  <si>
    <r>
      <t xml:space="preserve">Módulo Control Financiero SICOFI (Emisión de Comprobantes- perfil </t>
    </r>
    <r>
      <rPr>
        <b/>
        <sz val="7.5"/>
        <color theme="1"/>
        <rFont val="Calibri"/>
        <family val="2"/>
        <scheme val="minor"/>
      </rPr>
      <t>Funcionario</t>
    </r>
    <r>
      <rPr>
        <sz val="7.5"/>
        <color theme="1"/>
        <rFont val="Calibri"/>
        <family val="2"/>
        <scheme val="minor"/>
      </rPr>
      <t>)</t>
    </r>
  </si>
  <si>
    <t>Rol Coordinador Regional</t>
  </si>
  <si>
    <t>Asistente área Técnica</t>
  </si>
  <si>
    <t>12.- 1800-LO JUSTO</t>
  </si>
  <si>
    <t>J - Dirección de Coactivas e Infracciones</t>
  </si>
  <si>
    <r>
      <t xml:space="preserve">Módulo de Sicohi File Manager ( Gestión de usuarios operadoras - perfil </t>
    </r>
    <r>
      <rPr>
        <b/>
        <sz val="7.5"/>
        <color theme="1"/>
        <rFont val="Calibri"/>
        <family val="2"/>
        <scheme val="minor"/>
      </rPr>
      <t>Facturador</t>
    </r>
    <r>
      <rPr>
        <sz val="7.5"/>
        <color theme="1"/>
        <rFont val="Calibri"/>
        <family val="2"/>
        <scheme val="minor"/>
      </rPr>
      <t>)</t>
    </r>
  </si>
  <si>
    <t>Rol Director Ejecutivo</t>
  </si>
  <si>
    <t>13.- norma glp</t>
  </si>
  <si>
    <t>M - Coordinación Nacional Ambiental Eléctrica</t>
  </si>
  <si>
    <r>
      <t xml:space="preserve">Módulo de Sicohi File Manager ( Gestión de usuarios operadoras - perfil </t>
    </r>
    <r>
      <rPr>
        <b/>
        <sz val="7.5"/>
        <color theme="1"/>
        <rFont val="Calibri"/>
        <family val="2"/>
        <scheme val="minor"/>
      </rPr>
      <t>Funcionarios</t>
    </r>
    <r>
      <rPr>
        <sz val="7.5"/>
        <color theme="1"/>
        <rFont val="Calibri"/>
        <family val="2"/>
        <scheme val="minor"/>
      </rPr>
      <t>)</t>
    </r>
  </si>
  <si>
    <t>Rol Director Jurídico</t>
  </si>
  <si>
    <t>14.- Marco Legal Biblioteca WEB</t>
  </si>
  <si>
    <t>M - Dirección Técnica de Control y Seguimiento Ambiental</t>
  </si>
  <si>
    <r>
      <t xml:space="preserve"> Módulo Registro de Control Técnico de Hidrocarburos RCTH (Visualizar resoluciones - perfil </t>
    </r>
    <r>
      <rPr>
        <b/>
        <sz val="7.5"/>
        <color theme="1"/>
        <rFont val="Calibri"/>
        <family val="2"/>
        <scheme val="minor"/>
      </rPr>
      <t>Administrador</t>
    </r>
    <r>
      <rPr>
        <sz val="7.5"/>
        <color theme="1"/>
        <rFont val="Calibri"/>
        <family val="2"/>
        <scheme val="minor"/>
      </rPr>
      <t>)</t>
    </r>
  </si>
  <si>
    <t>Rol Especialista Económico Nacional</t>
  </si>
  <si>
    <t>15.- MARCO LEGAL VIGENTE 2017</t>
  </si>
  <si>
    <t>M - Dirección Técnica de Regularización Ambiental</t>
  </si>
  <si>
    <r>
      <t xml:space="preserve">Módulo Registro de Control Técnico de Hidrocarburos RCTH (Registrar resolución - perfil </t>
    </r>
    <r>
      <rPr>
        <b/>
        <sz val="7.5"/>
        <color theme="1"/>
        <rFont val="Calibri"/>
        <family val="2"/>
        <scheme val="minor"/>
      </rPr>
      <t>Funcionario</t>
    </r>
    <r>
      <rPr>
        <sz val="7.5"/>
        <color theme="1"/>
        <rFont val="Calibri"/>
        <family val="2"/>
        <scheme val="minor"/>
      </rPr>
      <t>)</t>
    </r>
  </si>
  <si>
    <t>Rol Especialista Económico Regional</t>
  </si>
  <si>
    <t>16.- NORMAS - PROCEDIMIENTOS OI</t>
  </si>
  <si>
    <t>P - Coordinación de Planificación y Gestión Estratégica</t>
  </si>
  <si>
    <t>Rol Especialista Económico Regional(Editor)</t>
  </si>
  <si>
    <t>17.- REGISTRO DE PAGOS</t>
  </si>
  <si>
    <t>P - Dirección de Planificación, Inversión, Seguimiento y Evaluación</t>
  </si>
  <si>
    <r>
      <t xml:space="preserve">Módulo de Catastro Industrial (Perfil </t>
    </r>
    <r>
      <rPr>
        <b/>
        <sz val="7.5"/>
        <color indexed="8"/>
        <rFont val="Calibri"/>
        <family val="2"/>
      </rPr>
      <t xml:space="preserve">Administrador </t>
    </r>
    <r>
      <rPr>
        <sz val="7.5"/>
        <color indexed="8"/>
        <rFont val="Calibri"/>
        <family val="2"/>
      </rPr>
      <t>)</t>
    </r>
  </si>
  <si>
    <t>Rol Jefe de Transporte</t>
  </si>
  <si>
    <t>18.- VARIOS</t>
  </si>
  <si>
    <t>P - Dirección de Procesos, Servicios, Calidad y Gestión del Cambio</t>
  </si>
  <si>
    <r>
      <t xml:space="preserve">Módulo de Catastro Industrial(Perfil </t>
    </r>
    <r>
      <rPr>
        <b/>
        <sz val="7.5"/>
        <color indexed="8"/>
        <rFont val="Calibri"/>
        <family val="2"/>
      </rPr>
      <t>Funcionario</t>
    </r>
    <r>
      <rPr>
        <sz val="7.5"/>
        <color indexed="8"/>
        <rFont val="Calibri"/>
        <family val="2"/>
      </rPr>
      <t>)</t>
    </r>
  </si>
  <si>
    <t>Rol Proveedor GPS</t>
  </si>
  <si>
    <t>Actualizaciones Página WEB</t>
  </si>
  <si>
    <r>
      <t xml:space="preserve">Módulo de control de distribución de GLP en frontera (Perfil  </t>
    </r>
    <r>
      <rPr>
        <b/>
        <sz val="7.5"/>
        <color indexed="8"/>
        <rFont val="Calibri"/>
        <family val="2"/>
      </rPr>
      <t>Funcionario</t>
    </r>
    <r>
      <rPr>
        <sz val="7.5"/>
        <color indexed="8"/>
        <rFont val="Calibri"/>
        <family val="2"/>
      </rPr>
      <t>)</t>
    </r>
  </si>
  <si>
    <t>Rol Recepcionista GAD</t>
  </si>
  <si>
    <t>TEGMETRO S.A ORGANISMO DE CALIBRACION</t>
  </si>
  <si>
    <t>R - Coordinación Nacional de Regulación Eléctrica</t>
  </si>
  <si>
    <t>Rol Recepcionista Subsecretaría General</t>
  </si>
  <si>
    <t>R - Dirección Técnica de Estudios, Información e Innovación</t>
  </si>
  <si>
    <t xml:space="preserve">Rol Recepcionista
</t>
  </si>
  <si>
    <t>R - Dirección Técnica de Regulación</t>
  </si>
  <si>
    <t>Rol Registrador Nacional</t>
  </si>
  <si>
    <t>R - Dirección Técnica de Regulación Económica y Tarifas</t>
  </si>
  <si>
    <t>Rol Registrador Regional</t>
  </si>
  <si>
    <t>S - Dirección de Comunicación Social</t>
  </si>
  <si>
    <t>Rol Registro Minero (Intranet)</t>
  </si>
  <si>
    <t>Rol Responsable GAD</t>
  </si>
  <si>
    <t>Rol Subsecretaria Nacional de Contratación</t>
  </si>
  <si>
    <t>Rol Subsecretaria Nacional de Desarrollo</t>
  </si>
  <si>
    <t>Rol Subsecretaria Nacional de Minas</t>
  </si>
  <si>
    <t>Rol Subsecretaria Regional de Minas</t>
  </si>
  <si>
    <t>Rol Técnico</t>
  </si>
  <si>
    <t>Rol Técnico de Catastro</t>
  </si>
  <si>
    <t>Rol Técnico de Catastro Nacional</t>
  </si>
  <si>
    <t>Rol Usuario SRI</t>
  </si>
  <si>
    <t xml:space="preserve">Rol Usuario
</t>
  </si>
  <si>
    <t>SADMIN</t>
  </si>
  <si>
    <t>Solicitud Derecho</t>
  </si>
  <si>
    <t>Informe Catastral</t>
  </si>
  <si>
    <t>Trámites Legales</t>
  </si>
  <si>
    <t>Hoja de Ruta</t>
  </si>
  <si>
    <t>Control Económico</t>
  </si>
  <si>
    <t>Manifiesto de Producción</t>
  </si>
  <si>
    <t>Control Técnico</t>
  </si>
  <si>
    <t>Seguimiento Minero</t>
  </si>
  <si>
    <t>Reportes A</t>
  </si>
  <si>
    <t>Reportes B</t>
  </si>
  <si>
    <t>Reportes C</t>
  </si>
  <si>
    <t>Reportes Diarios</t>
  </si>
  <si>
    <t>Reportes Económicos</t>
  </si>
  <si>
    <t>Sistema Auditores Mineros (Roles):</t>
  </si>
  <si>
    <t>Rol Calificador</t>
  </si>
  <si>
    <t>Rol Jurídico</t>
  </si>
  <si>
    <t>Rol Talento Humano</t>
  </si>
  <si>
    <t>Rol Directivo</t>
  </si>
  <si>
    <t>Rol Administrador</t>
  </si>
  <si>
    <t>SECTOR</t>
  </si>
  <si>
    <t>ELECTRICO</t>
  </si>
  <si>
    <t>HIDROCARBURIFERO</t>
  </si>
  <si>
    <t>MINERO</t>
  </si>
  <si>
    <t>OTRO</t>
  </si>
  <si>
    <t>NO ESTA EN LA LISTA</t>
  </si>
  <si>
    <t>Indique el nombre de la carpeta</t>
  </si>
  <si>
    <t>AUDITORÍA</t>
  </si>
  <si>
    <t>DACE</t>
  </si>
  <si>
    <t>Respaldo Base de Datos ARCOM</t>
  </si>
  <si>
    <t>CGPGE</t>
  </si>
  <si>
    <t>Repositorio Ponce Enrriquez</t>
  </si>
  <si>
    <t>OTRA DIRECCIÓN</t>
  </si>
  <si>
    <t>CNCSE</t>
  </si>
  <si>
    <t>Respaldo MarcoV Catastro</t>
  </si>
  <si>
    <t>DAF</t>
  </si>
  <si>
    <t>DPGE</t>
  </si>
  <si>
    <t>Respaldo Portovelo</t>
  </si>
  <si>
    <t>PÚBLICO</t>
  </si>
  <si>
    <t>FUENTES</t>
  </si>
  <si>
    <t>Topografia_Zaruma</t>
  </si>
  <si>
    <t>SG</t>
  </si>
  <si>
    <t>SITP</t>
  </si>
  <si>
    <t>Video</t>
  </si>
  <si>
    <t>CNRSE</t>
  </si>
  <si>
    <t>Respaldos</t>
  </si>
  <si>
    <t>Surveillance</t>
  </si>
  <si>
    <t>DRN</t>
  </si>
  <si>
    <t>Urve ARCOM</t>
  </si>
  <si>
    <t>GLP</t>
  </si>
  <si>
    <t>Base de datos Cuenca</t>
  </si>
  <si>
    <t>TMATE</t>
  </si>
  <si>
    <t>Base de datos Loja</t>
  </si>
  <si>
    <t>DCS</t>
  </si>
  <si>
    <t>Base de datos Riobamba</t>
  </si>
  <si>
    <t>Coordinación GRCM</t>
  </si>
  <si>
    <t>Dirección AJ</t>
  </si>
  <si>
    <t>DTIC</t>
  </si>
  <si>
    <t>Dirección PGE</t>
  </si>
  <si>
    <t>Respaldos área de comunicación</t>
  </si>
  <si>
    <t>Dirección TICS</t>
  </si>
  <si>
    <t>informes de Gestión</t>
  </si>
  <si>
    <t>DCTC_CLDH</t>
  </si>
  <si>
    <t>Base de datos Guayaquil</t>
  </si>
  <si>
    <t>DCTH_CNCCH</t>
  </si>
  <si>
    <t>Base de datos Macas</t>
  </si>
  <si>
    <t>DJ</t>
  </si>
  <si>
    <t>Base de datos  Tena</t>
  </si>
  <si>
    <t>Escritorio</t>
  </si>
  <si>
    <t>Dirección AEM</t>
  </si>
  <si>
    <t>SICOHI</t>
  </si>
  <si>
    <t>Dirección ATH</t>
  </si>
  <si>
    <t>Unidad de Precios</t>
  </si>
  <si>
    <t>Dirección RRLM</t>
  </si>
  <si>
    <t>Directores ARCOM</t>
  </si>
  <si>
    <t>Proyectos Emblenáticos ARCOM</t>
  </si>
  <si>
    <t>Base de datos Ibarra</t>
  </si>
  <si>
    <t>Base de datos Zamora</t>
  </si>
  <si>
    <t>Dirección AF</t>
  </si>
  <si>
    <t>Dirección CS</t>
  </si>
  <si>
    <t>Dirección SCCTM</t>
  </si>
  <si>
    <t>Homes</t>
  </si>
  <si>
    <t>Repositorio CNT servidores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</si>
</sst>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58">
    <font>
      <sz val="11"/>
      <color theme="1"/>
      <name val="Calibri"/>
      <family val="2"/>
      <scheme val="minor"/>
    </font>
    <font>
      <sz val="7.5"/>
      <color indexed="8"/>
      <name val="Calibri"/>
      <family val="2"/>
    </font>
    <font>
      <b/>
      <sz val="7.5"/>
      <color indexed="8"/>
      <name val="Calibri"/>
      <family val="2"/>
    </font>
    <font>
      <sz val="7.5"/>
      <color indexed="8"/>
      <name val="Arial"/>
      <family val="2"/>
    </font>
    <font>
      <b/>
      <sz val="7.5"/>
      <color indexed="8"/>
      <name val="Arial"/>
      <family val="2"/>
    </font>
    <font>
      <b/>
      <sz val="7"/>
      <color indexed="8"/>
      <name val="Calibri"/>
      <family val="2"/>
    </font>
    <font>
      <sz val="7"/>
      <color indexed="8"/>
      <name val="Calibri"/>
      <family val="2"/>
    </font>
    <font>
      <i/>
      <sz val="7"/>
      <color indexed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sz val="10"/>
      <color indexed="8"/>
      <name val="Calibri"/>
      <family val="2"/>
    </font>
    <font>
      <sz val="11"/>
      <color indexed="9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7.5"/>
      <color theme="1"/>
      <name val="Tahoma"/>
      <family val="2"/>
    </font>
    <font>
      <sz val="12"/>
      <color theme="1"/>
      <name val="Calibri"/>
      <family val="2"/>
      <scheme val="minor"/>
    </font>
    <font>
      <sz val="7"/>
      <color theme="1"/>
      <name val="Tahoma"/>
      <family val="2"/>
    </font>
    <font>
      <sz val="6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3"/>
      <color theme="1"/>
      <name val="Tahoma"/>
      <family val="2"/>
    </font>
    <font>
      <sz val="6"/>
      <color theme="1"/>
      <name val="Tahoma"/>
      <family val="2"/>
    </font>
    <font>
      <b/>
      <sz val="7.5"/>
      <color theme="1"/>
      <name val="Calibri"/>
      <family val="2"/>
      <scheme val="minor"/>
    </font>
    <font>
      <sz val="7.5"/>
      <color theme="1"/>
      <name val="Arial"/>
      <family val="2"/>
    </font>
    <font>
      <sz val="6.5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7.5"/>
      <color theme="0"/>
      <name val="Calibri"/>
      <family val="2"/>
      <scheme val="minor"/>
    </font>
    <font>
      <i/>
      <sz val="6"/>
      <color theme="1"/>
      <name val="Calibri"/>
      <family val="2"/>
      <scheme val="minor"/>
    </font>
    <font>
      <sz val="10"/>
      <color theme="1"/>
      <name val="Courier New"/>
      <family val="3"/>
    </font>
    <font>
      <sz val="5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i/>
      <sz val="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6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i/>
      <sz val="6.5"/>
      <color theme="1"/>
      <name val="Calibri"/>
      <family val="2"/>
      <scheme val="minor"/>
    </font>
    <font>
      <b/>
      <i/>
      <sz val="7"/>
      <color theme="1"/>
      <name val="Calibri"/>
      <family val="2"/>
      <scheme val="minor"/>
    </font>
    <font>
      <sz val="6"/>
      <color theme="0" tint="-0.499984740745262"/>
      <name val="Calibri"/>
      <family val="2"/>
      <scheme val="minor"/>
    </font>
    <font>
      <sz val="7.5"/>
      <color theme="0" tint="-0.499984740745262"/>
      <name val="Calibri"/>
      <family val="2"/>
      <scheme val="minor"/>
    </font>
    <font>
      <b/>
      <sz val="6"/>
      <color rgb="FFFF0000"/>
      <name val="Calibri"/>
      <family val="2"/>
      <scheme val="minor"/>
    </font>
    <font>
      <i/>
      <sz val="6"/>
      <color theme="0" tint="-0.34998626667073579"/>
      <name val="Calibri"/>
      <family val="2"/>
      <scheme val="minor"/>
    </font>
    <font>
      <b/>
      <sz val="7"/>
      <color theme="0"/>
      <name val="Tahoma"/>
      <family val="2"/>
    </font>
    <font>
      <sz val="11"/>
      <color rgb="FF000000"/>
      <name val="Calibri"/>
      <family val="2"/>
      <scheme val="minor"/>
    </font>
    <font>
      <b/>
      <sz val="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7.5"/>
      <color theme="1"/>
      <name val="Tahoma"/>
      <family val="2"/>
    </font>
    <font>
      <sz val="7.5"/>
      <color theme="0" tint="-0.34998626667073579"/>
      <name val="Calibri"/>
      <family val="2"/>
      <scheme val="minor"/>
    </font>
    <font>
      <sz val="7"/>
      <color theme="3"/>
      <name val="Calibri"/>
      <family val="2"/>
      <scheme val="minor"/>
    </font>
    <font>
      <b/>
      <i/>
      <sz val="5"/>
      <color theme="1"/>
      <name val="Calibri"/>
      <family val="2"/>
      <scheme val="minor"/>
    </font>
    <font>
      <b/>
      <sz val="10"/>
      <name val="Calibri"/>
      <family val="2"/>
    </font>
    <font>
      <sz val="11"/>
      <color indexed="8"/>
      <name val="Calibri"/>
      <family val="2"/>
    </font>
    <font>
      <i/>
      <sz val="7"/>
      <color theme="1"/>
      <name val="Calibri"/>
      <family val="2"/>
      <scheme val="minor"/>
    </font>
    <font>
      <i/>
      <sz val="5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3FC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308">
    <xf numFmtId="0" fontId="0" fillId="0" borderId="0" xfId="0"/>
    <xf numFmtId="0" fontId="16" fillId="0" borderId="0" xfId="0" applyFont="1"/>
    <xf numFmtId="0" fontId="18" fillId="0" borderId="0" xfId="0" applyFont="1"/>
    <xf numFmtId="0" fontId="20" fillId="0" borderId="0" xfId="0" applyFont="1"/>
    <xf numFmtId="0" fontId="0" fillId="0" borderId="0" xfId="0" quotePrefix="1"/>
    <xf numFmtId="0" fontId="0" fillId="0" borderId="0" xfId="0" applyAlignment="1">
      <alignment horizontal="left" vertical="center"/>
    </xf>
    <xf numFmtId="0" fontId="21" fillId="0" borderId="0" xfId="0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0" fontId="16" fillId="0" borderId="0" xfId="0" applyFont="1" applyAlignment="1">
      <alignment vertical="center"/>
    </xf>
    <xf numFmtId="0" fontId="29" fillId="0" borderId="0" xfId="0" applyFont="1" applyAlignment="1">
      <alignment vertical="center" wrapText="1"/>
    </xf>
    <xf numFmtId="0" fontId="2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27" fillId="0" borderId="0" xfId="0" applyFont="1" applyAlignment="1">
      <alignment wrapText="1"/>
    </xf>
    <xf numFmtId="0" fontId="5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30" fillId="0" borderId="0" xfId="0" applyFont="1"/>
    <xf numFmtId="49" fontId="18" fillId="0" borderId="0" xfId="0" applyNumberFormat="1" applyFont="1"/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vertical="center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34" fillId="0" borderId="0" xfId="0" applyFont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15" fillId="0" borderId="0" xfId="0" applyFont="1"/>
    <xf numFmtId="0" fontId="0" fillId="0" borderId="13" xfId="0" applyBorder="1" applyAlignment="1">
      <alignment vertical="center"/>
    </xf>
    <xf numFmtId="0" fontId="16" fillId="0" borderId="3" xfId="0" applyFont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6" xfId="0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>
      <alignment horizontal="center" vertical="center" wrapText="1"/>
    </xf>
    <xf numFmtId="0" fontId="32" fillId="0" borderId="0" xfId="0" applyFont="1" applyAlignment="1">
      <alignment horizontal="left" vertical="center"/>
    </xf>
    <xf numFmtId="0" fontId="21" fillId="0" borderId="1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36" fillId="0" borderId="0" xfId="0" applyFont="1" applyAlignment="1">
      <alignment vertical="center" wrapText="1"/>
    </xf>
    <xf numFmtId="0" fontId="46" fillId="0" borderId="0" xfId="0" applyFont="1"/>
    <xf numFmtId="0" fontId="19" fillId="0" borderId="25" xfId="0" applyFont="1" applyBorder="1" applyAlignment="1">
      <alignment vertical="center"/>
    </xf>
    <xf numFmtId="0" fontId="28" fillId="0" borderId="25" xfId="0" applyFont="1" applyBorder="1" applyAlignment="1">
      <alignment horizontal="center" vertical="center"/>
    </xf>
    <xf numFmtId="0" fontId="19" fillId="0" borderId="25" xfId="0" applyFont="1" applyBorder="1" applyAlignment="1">
      <alignment vertical="center" wrapText="1"/>
    </xf>
    <xf numFmtId="0" fontId="22" fillId="0" borderId="36" xfId="0" applyFont="1" applyBorder="1" applyAlignment="1">
      <alignment horizontal="center" vertical="center"/>
    </xf>
    <xf numFmtId="0" fontId="20" fillId="0" borderId="30" xfId="0" applyFont="1" applyBorder="1" applyAlignment="1" applyProtection="1">
      <alignment vertical="center"/>
      <protection locked="0"/>
    </xf>
    <xf numFmtId="0" fontId="43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49" fontId="16" fillId="0" borderId="0" xfId="0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16" fillId="0" borderId="27" xfId="0" applyFont="1" applyBorder="1"/>
    <xf numFmtId="0" fontId="25" fillId="0" borderId="30" xfId="0" applyFont="1" applyBorder="1" applyAlignment="1">
      <alignment horizontal="center" vertical="center" wrapText="1"/>
    </xf>
    <xf numFmtId="14" fontId="20" fillId="0" borderId="30" xfId="0" applyNumberFormat="1" applyFont="1" applyBorder="1" applyAlignment="1">
      <alignment horizontal="center" vertical="center"/>
    </xf>
    <xf numFmtId="0" fontId="36" fillId="0" borderId="50" xfId="0" applyFont="1" applyBorder="1" applyAlignment="1">
      <alignment horizontal="center" vertical="center"/>
    </xf>
    <xf numFmtId="0" fontId="43" fillId="0" borderId="30" xfId="0" applyFont="1" applyBorder="1" applyAlignment="1">
      <alignment vertical="center"/>
    </xf>
    <xf numFmtId="0" fontId="38" fillId="0" borderId="16" xfId="0" applyFont="1" applyBorder="1"/>
    <xf numFmtId="0" fontId="0" fillId="0" borderId="3" xfId="0" applyBorder="1"/>
    <xf numFmtId="0" fontId="37" fillId="0" borderId="9" xfId="0" applyFont="1" applyBorder="1"/>
    <xf numFmtId="0" fontId="0" fillId="0" borderId="2" xfId="0" applyBorder="1"/>
    <xf numFmtId="0" fontId="15" fillId="0" borderId="9" xfId="0" applyFont="1" applyBorder="1"/>
    <xf numFmtId="0" fontId="0" fillId="0" borderId="9" xfId="0" applyBorder="1"/>
    <xf numFmtId="0" fontId="26" fillId="0" borderId="0" xfId="0" applyFont="1" applyAlignment="1" applyProtection="1">
      <alignment vertical="center" wrapText="1"/>
      <protection locked="0"/>
    </xf>
    <xf numFmtId="0" fontId="16" fillId="0" borderId="0" xfId="0" applyFont="1" applyAlignment="1">
      <alignment vertical="top"/>
    </xf>
    <xf numFmtId="0" fontId="2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0" fontId="16" fillId="0" borderId="0" xfId="0" applyFont="1" applyAlignment="1" applyProtection="1">
      <alignment horizontal="left" vertical="center"/>
      <protection locked="0"/>
    </xf>
    <xf numFmtId="0" fontId="17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 vertical="center"/>
    </xf>
    <xf numFmtId="0" fontId="16" fillId="0" borderId="6" xfId="0" applyFont="1" applyBorder="1" applyAlignment="1" applyProtection="1">
      <alignment horizontal="center" vertical="center"/>
      <protection locked="0"/>
    </xf>
    <xf numFmtId="0" fontId="20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/>
    </xf>
    <xf numFmtId="0" fontId="24" fillId="8" borderId="27" xfId="0" applyFont="1" applyFill="1" applyBorder="1" applyAlignment="1">
      <alignment horizontal="center" wrapText="1"/>
    </xf>
    <xf numFmtId="0" fontId="24" fillId="0" borderId="27" xfId="0" applyFont="1" applyBorder="1"/>
    <xf numFmtId="0" fontId="16" fillId="0" borderId="0" xfId="0" applyFont="1" applyAlignment="1">
      <alignment horizontal="center"/>
    </xf>
    <xf numFmtId="0" fontId="16" fillId="0" borderId="0" xfId="0" applyFont="1" applyAlignment="1" applyProtection="1">
      <alignment vertical="center" wrapText="1"/>
      <protection locked="0"/>
    </xf>
    <xf numFmtId="0" fontId="20" fillId="0" borderId="6" xfId="0" applyFont="1" applyBorder="1" applyAlignment="1" applyProtection="1">
      <alignment horizontal="center"/>
      <protection locked="0"/>
    </xf>
    <xf numFmtId="0" fontId="49" fillId="8" borderId="7" xfId="0" applyFont="1" applyFill="1" applyBorder="1" applyAlignment="1">
      <alignment horizontal="center" wrapText="1"/>
    </xf>
    <xf numFmtId="0" fontId="49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6" fillId="9" borderId="0" xfId="0" applyFont="1" applyFill="1" applyAlignment="1">
      <alignment vertical="center" wrapText="1"/>
    </xf>
    <xf numFmtId="0" fontId="15" fillId="0" borderId="0" xfId="0" applyFont="1" applyAlignment="1">
      <alignment wrapText="1"/>
    </xf>
    <xf numFmtId="0" fontId="35" fillId="0" borderId="0" xfId="0" applyFont="1"/>
    <xf numFmtId="0" fontId="20" fillId="0" borderId="0" xfId="0" applyFont="1" applyAlignment="1">
      <alignment horizontal="left" vertical="center"/>
    </xf>
    <xf numFmtId="0" fontId="16" fillId="0" borderId="41" xfId="0" applyFont="1" applyBorder="1" applyAlignment="1" applyProtection="1">
      <alignment vertical="center" wrapText="1"/>
      <protection locked="0"/>
    </xf>
    <xf numFmtId="0" fontId="16" fillId="0" borderId="42" xfId="0" applyFont="1" applyBorder="1" applyAlignment="1" applyProtection="1">
      <alignment vertical="center" wrapText="1"/>
      <protection locked="0"/>
    </xf>
    <xf numFmtId="0" fontId="15" fillId="0" borderId="0" xfId="0" applyFont="1" applyAlignment="1">
      <alignment horizontal="center"/>
    </xf>
    <xf numFmtId="0" fontId="32" fillId="0" borderId="25" xfId="0" applyFont="1" applyBorder="1" applyAlignment="1">
      <alignment horizontal="left" vertical="center"/>
    </xf>
    <xf numFmtId="0" fontId="20" fillId="0" borderId="25" xfId="0" applyFont="1" applyBorder="1" applyAlignment="1">
      <alignment horizontal="left" vertical="center"/>
    </xf>
    <xf numFmtId="0" fontId="20" fillId="0" borderId="25" xfId="0" applyFont="1" applyBorder="1" applyAlignment="1" applyProtection="1">
      <alignment vertical="center"/>
      <protection locked="0"/>
    </xf>
    <xf numFmtId="0" fontId="20" fillId="0" borderId="26" xfId="0" applyFont="1" applyBorder="1" applyAlignment="1" applyProtection="1">
      <alignment vertical="center"/>
      <protection locked="0"/>
    </xf>
    <xf numFmtId="0" fontId="22" fillId="0" borderId="64" xfId="0" applyFont="1" applyBorder="1" applyAlignment="1">
      <alignment horizontal="center" vertical="center"/>
    </xf>
    <xf numFmtId="0" fontId="19" fillId="0" borderId="41" xfId="0" applyFont="1" applyBorder="1" applyAlignment="1">
      <alignment vertical="center"/>
    </xf>
    <xf numFmtId="0" fontId="28" fillId="0" borderId="41" xfId="0" applyFont="1" applyBorder="1" applyAlignment="1">
      <alignment horizontal="center" vertical="center"/>
    </xf>
    <xf numFmtId="0" fontId="19" fillId="0" borderId="41" xfId="0" applyFont="1" applyBorder="1" applyAlignment="1">
      <alignment vertical="center" wrapText="1"/>
    </xf>
    <xf numFmtId="0" fontId="24" fillId="0" borderId="0" xfId="0" applyFont="1" applyAlignment="1">
      <alignment vertical="center"/>
    </xf>
    <xf numFmtId="0" fontId="21" fillId="8" borderId="13" xfId="0" applyFont="1" applyFill="1" applyBorder="1" applyAlignment="1">
      <alignment vertical="center"/>
    </xf>
    <xf numFmtId="0" fontId="21" fillId="8" borderId="13" xfId="0" applyFont="1" applyFill="1" applyBorder="1" applyAlignment="1">
      <alignment horizontal="right" vertical="center"/>
    </xf>
    <xf numFmtId="0" fontId="21" fillId="8" borderId="13" xfId="0" applyFont="1" applyFill="1" applyBorder="1" applyAlignment="1">
      <alignment horizontal="right"/>
    </xf>
    <xf numFmtId="0" fontId="45" fillId="3" borderId="27" xfId="0" applyFont="1" applyFill="1" applyBorder="1" applyAlignment="1">
      <alignment horizontal="center" vertical="center" wrapText="1"/>
    </xf>
    <xf numFmtId="0" fontId="45" fillId="3" borderId="0" xfId="0" applyFont="1" applyFill="1" applyAlignment="1">
      <alignment horizontal="center" vertical="center" wrapText="1"/>
    </xf>
    <xf numFmtId="0" fontId="45" fillId="3" borderId="30" xfId="0" applyFont="1" applyFill="1" applyBorder="1" applyAlignment="1">
      <alignment horizontal="center" vertical="center" wrapText="1"/>
    </xf>
    <xf numFmtId="0" fontId="20" fillId="0" borderId="25" xfId="0" applyFont="1" applyBorder="1" applyAlignment="1" applyProtection="1">
      <alignment horizontal="center" vertical="center"/>
      <protection locked="0"/>
    </xf>
    <xf numFmtId="0" fontId="20" fillId="0" borderId="18" xfId="0" applyFont="1" applyBorder="1" applyAlignment="1" applyProtection="1">
      <alignment horizontal="center" vertical="center"/>
      <protection locked="0"/>
    </xf>
    <xf numFmtId="0" fontId="20" fillId="0" borderId="24" xfId="0" applyFont="1" applyBorder="1" applyAlignment="1" applyProtection="1">
      <alignment horizontal="center" vertical="center"/>
      <protection locked="0"/>
    </xf>
    <xf numFmtId="164" fontId="21" fillId="0" borderId="6" xfId="0" applyNumberFormat="1" applyFont="1" applyBorder="1" applyAlignment="1" applyProtection="1">
      <alignment horizontal="center" vertical="center"/>
      <protection locked="0"/>
    </xf>
    <xf numFmtId="0" fontId="49" fillId="2" borderId="7" xfId="0" applyFont="1" applyFill="1" applyBorder="1" applyAlignment="1">
      <alignment horizontal="center" wrapText="1"/>
    </xf>
    <xf numFmtId="0" fontId="49" fillId="2" borderId="31" xfId="0" applyFont="1" applyFill="1" applyBorder="1" applyAlignment="1">
      <alignment horizontal="center" wrapText="1"/>
    </xf>
    <xf numFmtId="0" fontId="17" fillId="0" borderId="0" xfId="0" applyFont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16" fillId="0" borderId="30" xfId="0" applyFont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30" xfId="0" applyFont="1" applyBorder="1" applyAlignment="1">
      <alignment horizontal="center"/>
    </xf>
    <xf numFmtId="164" fontId="21" fillId="0" borderId="0" xfId="0" applyNumberFormat="1" applyFont="1" applyAlignment="1">
      <alignment horizontal="center" vertical="center"/>
    </xf>
    <xf numFmtId="164" fontId="21" fillId="0" borderId="0" xfId="0" applyNumberFormat="1" applyFont="1" applyAlignment="1" applyProtection="1">
      <alignment horizontal="center" vertical="center"/>
      <protection locked="0"/>
    </xf>
    <xf numFmtId="0" fontId="40" fillId="8" borderId="54" xfId="0" applyFont="1" applyFill="1" applyBorder="1" applyAlignment="1">
      <alignment horizontal="center" vertical="center" wrapText="1"/>
    </xf>
    <xf numFmtId="0" fontId="40" fillId="8" borderId="13" xfId="0" applyFont="1" applyFill="1" applyBorder="1" applyAlignment="1">
      <alignment horizontal="center" vertical="center" wrapText="1"/>
    </xf>
    <xf numFmtId="0" fontId="55" fillId="8" borderId="13" xfId="0" applyFont="1" applyFill="1" applyBorder="1" applyAlignment="1">
      <alignment horizontal="center" vertical="center" wrapText="1"/>
    </xf>
    <xf numFmtId="0" fontId="24" fillId="2" borderId="58" xfId="0" applyFont="1" applyFill="1" applyBorder="1" applyAlignment="1">
      <alignment horizontal="center" wrapText="1"/>
    </xf>
    <xf numFmtId="0" fontId="24" fillId="2" borderId="7" xfId="0" applyFont="1" applyFill="1" applyBorder="1" applyAlignment="1">
      <alignment horizontal="center" wrapText="1"/>
    </xf>
    <xf numFmtId="0" fontId="33" fillId="0" borderId="32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20" fillId="0" borderId="27" xfId="0" applyFont="1" applyBorder="1" applyAlignment="1" applyProtection="1">
      <alignment horizontal="center" vertical="top" wrapText="1"/>
      <protection locked="0"/>
    </xf>
    <xf numFmtId="0" fontId="20" fillId="0" borderId="0" xfId="0" applyFont="1" applyAlignment="1" applyProtection="1">
      <alignment horizontal="center" vertical="top" wrapText="1"/>
      <protection locked="0"/>
    </xf>
    <xf numFmtId="0" fontId="22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/>
    </xf>
    <xf numFmtId="0" fontId="49" fillId="8" borderId="7" xfId="0" applyFont="1" applyFill="1" applyBorder="1" applyAlignment="1">
      <alignment horizontal="center" wrapText="1"/>
    </xf>
    <xf numFmtId="0" fontId="49" fillId="8" borderId="31" xfId="0" applyFont="1" applyFill="1" applyBorder="1" applyAlignment="1">
      <alignment horizontal="center" wrapText="1"/>
    </xf>
    <xf numFmtId="0" fontId="39" fillId="0" borderId="61" xfId="0" applyFont="1" applyBorder="1" applyAlignment="1" applyProtection="1">
      <alignment horizontal="center" vertical="center" wrapText="1"/>
      <protection locked="0"/>
    </xf>
    <xf numFmtId="0" fontId="39" fillId="0" borderId="20" xfId="0" applyFont="1" applyBorder="1" applyAlignment="1" applyProtection="1">
      <alignment horizontal="center" vertical="center" wrapText="1"/>
      <protection locked="0"/>
    </xf>
    <xf numFmtId="0" fontId="20" fillId="0" borderId="63" xfId="0" applyFont="1" applyBorder="1" applyAlignment="1" applyProtection="1">
      <alignment horizontal="center" vertical="center" wrapText="1"/>
      <protection locked="0"/>
    </xf>
    <xf numFmtId="0" fontId="20" fillId="0" borderId="15" xfId="0" applyFont="1" applyBorder="1" applyAlignment="1" applyProtection="1">
      <alignment horizontal="center" vertical="center" wrapText="1"/>
      <protection locked="0"/>
    </xf>
    <xf numFmtId="0" fontId="20" fillId="0" borderId="28" xfId="0" applyFont="1" applyBorder="1" applyAlignment="1" applyProtection="1">
      <alignment horizontal="center" vertical="center" wrapText="1"/>
      <protection locked="0"/>
    </xf>
    <xf numFmtId="0" fontId="16" fillId="0" borderId="62" xfId="0" applyFont="1" applyBorder="1" applyAlignment="1" applyProtection="1">
      <alignment horizontal="center"/>
      <protection locked="0"/>
    </xf>
    <xf numFmtId="0" fontId="16" fillId="0" borderId="11" xfId="0" applyFont="1" applyBorder="1" applyAlignment="1" applyProtection="1">
      <alignment horizontal="center"/>
      <protection locked="0"/>
    </xf>
    <xf numFmtId="0" fontId="20" fillId="0" borderId="6" xfId="0" applyFont="1" applyBorder="1" applyAlignment="1" applyProtection="1">
      <alignment horizontal="center"/>
      <protection locked="0"/>
    </xf>
    <xf numFmtId="0" fontId="20" fillId="0" borderId="47" xfId="0" applyFont="1" applyBorder="1" applyAlignment="1" applyProtection="1">
      <alignment horizontal="center"/>
      <protection locked="0"/>
    </xf>
    <xf numFmtId="0" fontId="21" fillId="0" borderId="27" xfId="0" applyFont="1" applyBorder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locked="0"/>
    </xf>
    <xf numFmtId="0" fontId="22" fillId="0" borderId="60" xfId="0" applyFont="1" applyBorder="1" applyAlignment="1">
      <alignment horizontal="center" vertical="center" wrapText="1"/>
    </xf>
    <xf numFmtId="0" fontId="35" fillId="8" borderId="46" xfId="0" applyFont="1" applyFill="1" applyBorder="1" applyAlignment="1">
      <alignment horizontal="center"/>
    </xf>
    <xf numFmtId="0" fontId="35" fillId="8" borderId="44" xfId="0" applyFont="1" applyFill="1" applyBorder="1" applyAlignment="1">
      <alignment horizontal="center"/>
    </xf>
    <xf numFmtId="0" fontId="35" fillId="8" borderId="45" xfId="0" applyFont="1" applyFill="1" applyBorder="1" applyAlignment="1">
      <alignment horizontal="center"/>
    </xf>
    <xf numFmtId="0" fontId="35" fillId="8" borderId="43" xfId="0" applyFont="1" applyFill="1" applyBorder="1" applyAlignment="1">
      <alignment horizontal="center" vertical="center" wrapText="1"/>
    </xf>
    <xf numFmtId="0" fontId="35" fillId="8" borderId="44" xfId="0" applyFont="1" applyFill="1" applyBorder="1" applyAlignment="1">
      <alignment horizontal="center" vertical="center" wrapText="1"/>
    </xf>
    <xf numFmtId="0" fontId="35" fillId="8" borderId="48" xfId="0" applyFont="1" applyFill="1" applyBorder="1" applyAlignment="1">
      <alignment horizontal="center" vertical="center" wrapText="1"/>
    </xf>
    <xf numFmtId="164" fontId="21" fillId="0" borderId="6" xfId="0" applyNumberFormat="1" applyFont="1" applyBorder="1" applyAlignment="1">
      <alignment horizontal="center" vertical="center"/>
    </xf>
    <xf numFmtId="0" fontId="16" fillId="0" borderId="18" xfId="0" applyFont="1" applyBorder="1" applyAlignment="1" applyProtection="1">
      <alignment vertical="center" wrapText="1"/>
      <protection locked="0"/>
    </xf>
    <xf numFmtId="0" fontId="16" fillId="0" borderId="39" xfId="0" applyFont="1" applyBorder="1" applyAlignment="1" applyProtection="1">
      <alignment vertical="center" wrapText="1"/>
      <protection locked="0"/>
    </xf>
    <xf numFmtId="0" fontId="35" fillId="0" borderId="25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41" xfId="0" applyFont="1" applyBorder="1" applyAlignment="1">
      <alignment horizontal="center" vertical="center" wrapText="1"/>
    </xf>
    <xf numFmtId="0" fontId="16" fillId="0" borderId="65" xfId="0" applyFont="1" applyBorder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vertical="center" wrapText="1"/>
      <protection locked="0"/>
    </xf>
    <xf numFmtId="0" fontId="16" fillId="0" borderId="30" xfId="0" applyFont="1" applyBorder="1" applyAlignment="1" applyProtection="1">
      <alignment vertical="center" wrapText="1"/>
      <protection locked="0"/>
    </xf>
    <xf numFmtId="49" fontId="26" fillId="0" borderId="12" xfId="0" applyNumberFormat="1" applyFont="1" applyBorder="1" applyAlignment="1" applyProtection="1">
      <alignment horizontal="center" vertical="center"/>
      <protection locked="0"/>
    </xf>
    <xf numFmtId="49" fontId="26" fillId="0" borderId="7" xfId="0" applyNumberFormat="1" applyFont="1" applyBorder="1" applyAlignment="1" applyProtection="1">
      <alignment horizontal="center" vertical="center"/>
      <protection locked="0"/>
    </xf>
    <xf numFmtId="49" fontId="26" fillId="0" borderId="10" xfId="0" applyNumberFormat="1" applyFont="1" applyBorder="1" applyAlignment="1" applyProtection="1">
      <alignment horizontal="center" vertical="center"/>
      <protection locked="0"/>
    </xf>
    <xf numFmtId="0" fontId="21" fillId="0" borderId="5" xfId="0" applyFont="1" applyBorder="1" applyAlignment="1">
      <alignment horizontal="left" vertical="center"/>
    </xf>
    <xf numFmtId="0" fontId="21" fillId="0" borderId="14" xfId="0" applyFont="1" applyBorder="1" applyAlignment="1">
      <alignment horizontal="left" vertical="center"/>
    </xf>
    <xf numFmtId="0" fontId="4" fillId="0" borderId="43" xfId="0" applyFont="1" applyBorder="1" applyAlignment="1">
      <alignment horizontal="left" vertical="center" wrapText="1"/>
    </xf>
    <xf numFmtId="0" fontId="4" fillId="0" borderId="44" xfId="0" applyFont="1" applyBorder="1" applyAlignment="1">
      <alignment horizontal="left" vertical="center" wrapText="1"/>
    </xf>
    <xf numFmtId="0" fontId="4" fillId="0" borderId="48" xfId="0" applyFont="1" applyBorder="1" applyAlignment="1">
      <alignment horizontal="left" vertical="center" wrapText="1"/>
    </xf>
    <xf numFmtId="0" fontId="16" fillId="0" borderId="13" xfId="0" applyFont="1" applyBorder="1" applyAlignment="1">
      <alignment horizontal="center"/>
    </xf>
    <xf numFmtId="0" fontId="3" fillId="0" borderId="44" xfId="0" applyFont="1" applyBorder="1" applyAlignment="1">
      <alignment horizontal="center" vertical="center" wrapText="1"/>
    </xf>
    <xf numFmtId="0" fontId="3" fillId="0" borderId="45" xfId="0" applyFont="1" applyBorder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36" fillId="0" borderId="52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39" fillId="0" borderId="19" xfId="0" applyFont="1" applyBorder="1" applyAlignment="1" applyProtection="1">
      <alignment horizontal="center" vertical="center" wrapText="1"/>
      <protection locked="0"/>
    </xf>
    <xf numFmtId="0" fontId="39" fillId="0" borderId="51" xfId="0" applyFont="1" applyBorder="1" applyAlignment="1" applyProtection="1">
      <alignment horizontal="center" vertical="center" wrapText="1"/>
      <protection locked="0"/>
    </xf>
    <xf numFmtId="49" fontId="39" fillId="0" borderId="6" xfId="0" applyNumberFormat="1" applyFont="1" applyBorder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49" fontId="26" fillId="0" borderId="13" xfId="0" applyNumberFormat="1" applyFont="1" applyBorder="1" applyAlignment="1" applyProtection="1">
      <alignment horizontal="center" vertical="center"/>
      <protection locked="0"/>
    </xf>
    <xf numFmtId="0" fontId="21" fillId="0" borderId="3" xfId="0" quotePrefix="1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33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0" fontId="21" fillId="0" borderId="13" xfId="0" applyFont="1" applyBorder="1" applyAlignment="1">
      <alignment horizontal="left" vertical="center"/>
    </xf>
    <xf numFmtId="0" fontId="39" fillId="0" borderId="17" xfId="0" applyFont="1" applyBorder="1" applyAlignment="1" applyProtection="1">
      <alignment horizontal="center" vertical="center" wrapText="1"/>
      <protection locked="0"/>
    </xf>
    <xf numFmtId="0" fontId="36" fillId="0" borderId="11" xfId="0" applyFont="1" applyBorder="1" applyAlignment="1">
      <alignment horizontal="center" vertical="center" wrapText="1"/>
    </xf>
    <xf numFmtId="0" fontId="36" fillId="0" borderId="50" xfId="0" applyFont="1" applyBorder="1" applyAlignment="1">
      <alignment horizontal="center" vertical="center" wrapText="1"/>
    </xf>
    <xf numFmtId="0" fontId="36" fillId="0" borderId="22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/>
    </xf>
    <xf numFmtId="0" fontId="16" fillId="0" borderId="66" xfId="0" applyFont="1" applyBorder="1" applyAlignment="1">
      <alignment horizontal="center" vertical="center" wrapText="1"/>
    </xf>
    <xf numFmtId="0" fontId="16" fillId="0" borderId="68" xfId="0" applyFont="1" applyBorder="1" applyAlignment="1">
      <alignment horizontal="center" vertical="center" wrapText="1"/>
    </xf>
    <xf numFmtId="0" fontId="44" fillId="0" borderId="66" xfId="0" applyFont="1" applyBorder="1" applyAlignment="1">
      <alignment horizontal="center" vertical="center" wrapText="1"/>
    </xf>
    <xf numFmtId="0" fontId="51" fillId="0" borderId="43" xfId="0" applyFont="1" applyBorder="1" applyAlignment="1">
      <alignment horizontal="center" vertical="center" wrapText="1"/>
    </xf>
    <xf numFmtId="0" fontId="51" fillId="0" borderId="45" xfId="0" applyFont="1" applyBorder="1" applyAlignment="1">
      <alignment horizontal="center" vertical="center" wrapText="1"/>
    </xf>
    <xf numFmtId="0" fontId="20" fillId="0" borderId="12" xfId="0" applyFont="1" applyBorder="1" applyAlignment="1" applyProtection="1">
      <alignment horizontal="center" vertical="center"/>
      <protection locked="0"/>
    </xf>
    <xf numFmtId="0" fontId="20" fillId="0" borderId="7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0" fillId="0" borderId="12" xfId="0" applyFont="1" applyBorder="1" applyAlignment="1" applyProtection="1">
      <alignment horizontal="center" vertical="center" wrapText="1"/>
      <protection locked="0"/>
    </xf>
    <xf numFmtId="0" fontId="20" fillId="0" borderId="7" xfId="0" applyFon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0" xfId="0" applyFont="1" applyAlignment="1">
      <alignment horizontal="left" vertical="center"/>
    </xf>
    <xf numFmtId="0" fontId="20" fillId="0" borderId="30" xfId="0" applyFont="1" applyBorder="1" applyAlignment="1">
      <alignment horizontal="left" vertical="center"/>
    </xf>
    <xf numFmtId="0" fontId="20" fillId="0" borderId="0" xfId="0" applyFont="1" applyAlignment="1">
      <alignment horizontal="left" vertical="center" wrapText="1"/>
    </xf>
    <xf numFmtId="0" fontId="21" fillId="0" borderId="6" xfId="0" applyFont="1" applyBorder="1" applyAlignment="1" applyProtection="1">
      <alignment horizontal="center" vertical="top" wrapText="1"/>
      <protection locked="0"/>
    </xf>
    <xf numFmtId="0" fontId="21" fillId="0" borderId="47" xfId="0" applyFont="1" applyBorder="1" applyAlignment="1" applyProtection="1">
      <alignment horizontal="center" vertical="top" wrapText="1"/>
      <protection locked="0"/>
    </xf>
    <xf numFmtId="0" fontId="36" fillId="0" borderId="0" xfId="0" applyFont="1" applyAlignment="1">
      <alignment horizontal="left" vertical="center"/>
    </xf>
    <xf numFmtId="0" fontId="36" fillId="0" borderId="11" xfId="0" applyFont="1" applyBorder="1" applyAlignment="1">
      <alignment horizontal="center" vertical="center"/>
    </xf>
    <xf numFmtId="0" fontId="45" fillId="3" borderId="7" xfId="0" applyFont="1" applyFill="1" applyBorder="1" applyAlignment="1">
      <alignment horizontal="center" vertical="center" wrapText="1"/>
    </xf>
    <xf numFmtId="0" fontId="45" fillId="3" borderId="31" xfId="0" applyFont="1" applyFill="1" applyBorder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57" fillId="0" borderId="45" xfId="1" applyFont="1" applyBorder="1" applyAlignment="1">
      <alignment horizontal="center" wrapText="1"/>
    </xf>
    <xf numFmtId="0" fontId="57" fillId="0" borderId="66" xfId="1" applyFont="1" applyBorder="1" applyAlignment="1">
      <alignment horizontal="center" wrapText="1"/>
    </xf>
    <xf numFmtId="0" fontId="21" fillId="8" borderId="59" xfId="0" applyFont="1" applyFill="1" applyBorder="1" applyAlignment="1">
      <alignment horizontal="center" vertical="center"/>
    </xf>
    <xf numFmtId="0" fontId="21" fillId="8" borderId="13" xfId="0" applyFont="1" applyFill="1" applyBorder="1" applyAlignment="1">
      <alignment horizontal="center" vertical="center"/>
    </xf>
    <xf numFmtId="0" fontId="21" fillId="8" borderId="0" xfId="0" applyFont="1" applyFill="1" applyAlignment="1">
      <alignment horizontal="center"/>
    </xf>
    <xf numFmtId="0" fontId="21" fillId="8" borderId="30" xfId="0" applyFont="1" applyFill="1" applyBorder="1" applyAlignment="1">
      <alignment horizontal="center"/>
    </xf>
    <xf numFmtId="0" fontId="24" fillId="0" borderId="69" xfId="0" applyFont="1" applyBorder="1" applyAlignment="1">
      <alignment horizontal="center" vertical="center" textRotation="90"/>
    </xf>
    <xf numFmtId="0" fontId="24" fillId="0" borderId="70" xfId="0" applyFont="1" applyBorder="1" applyAlignment="1">
      <alignment horizontal="center" vertical="center" textRotation="90"/>
    </xf>
    <xf numFmtId="0" fontId="24" fillId="0" borderId="71" xfId="0" applyFont="1" applyBorder="1" applyAlignment="1">
      <alignment horizontal="center" vertical="center" textRotation="90"/>
    </xf>
    <xf numFmtId="0" fontId="16" fillId="0" borderId="37" xfId="0" applyFont="1" applyBorder="1" applyAlignment="1" applyProtection="1">
      <alignment vertical="center" wrapText="1"/>
      <protection locked="0"/>
    </xf>
    <xf numFmtId="0" fontId="16" fillId="0" borderId="38" xfId="0" applyFont="1" applyBorder="1" applyAlignment="1" applyProtection="1">
      <alignment vertical="center" wrapText="1"/>
      <protection locked="0"/>
    </xf>
    <xf numFmtId="0" fontId="16" fillId="0" borderId="24" xfId="0" applyFont="1" applyBorder="1" applyAlignment="1" applyProtection="1">
      <alignment vertical="center" wrapText="1"/>
      <protection locked="0"/>
    </xf>
    <xf numFmtId="0" fontId="16" fillId="0" borderId="40" xfId="0" applyFont="1" applyBorder="1" applyAlignment="1" applyProtection="1">
      <alignment vertical="center" wrapText="1"/>
      <protection locked="0"/>
    </xf>
    <xf numFmtId="0" fontId="16" fillId="0" borderId="65" xfId="0" applyFont="1" applyBorder="1" applyAlignment="1" applyProtection="1">
      <alignment vertical="center" wrapText="1"/>
      <protection locked="0"/>
    </xf>
    <xf numFmtId="0" fontId="16" fillId="0" borderId="67" xfId="0" applyFont="1" applyBorder="1" applyAlignment="1" applyProtection="1">
      <alignment vertical="center" wrapText="1"/>
      <protection locked="0"/>
    </xf>
    <xf numFmtId="0" fontId="52" fillId="0" borderId="0" xfId="0" applyFont="1" applyAlignment="1" applyProtection="1">
      <alignment vertical="center" wrapText="1"/>
      <protection locked="0"/>
    </xf>
    <xf numFmtId="0" fontId="31" fillId="0" borderId="0" xfId="0" applyFont="1" applyAlignment="1" applyProtection="1">
      <alignment vertical="center" wrapText="1"/>
      <protection locked="0"/>
    </xf>
    <xf numFmtId="0" fontId="31" fillId="0" borderId="30" xfId="0" applyFont="1" applyBorder="1" applyAlignment="1" applyProtection="1">
      <alignment vertical="center" wrapText="1"/>
      <protection locked="0"/>
    </xf>
    <xf numFmtId="0" fontId="21" fillId="0" borderId="1" xfId="0" applyFont="1" applyBorder="1" applyAlignment="1">
      <alignment horizontal="left" vertical="center"/>
    </xf>
    <xf numFmtId="0" fontId="40" fillId="4" borderId="27" xfId="0" applyFont="1" applyFill="1" applyBorder="1" applyAlignment="1">
      <alignment horizontal="center" vertical="center" wrapText="1"/>
    </xf>
    <xf numFmtId="0" fontId="40" fillId="4" borderId="0" xfId="0" applyFont="1" applyFill="1" applyAlignment="1">
      <alignment horizontal="center" vertical="center" wrapText="1"/>
    </xf>
    <xf numFmtId="0" fontId="40" fillId="4" borderId="30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left" vertical="top"/>
    </xf>
    <xf numFmtId="0" fontId="31" fillId="0" borderId="30" xfId="0" applyFont="1" applyBorder="1" applyAlignment="1">
      <alignment horizontal="left" vertical="top"/>
    </xf>
    <xf numFmtId="0" fontId="24" fillId="8" borderId="12" xfId="0" applyFont="1" applyFill="1" applyBorder="1" applyAlignment="1">
      <alignment horizontal="left" wrapText="1"/>
    </xf>
    <xf numFmtId="0" fontId="24" fillId="8" borderId="7" xfId="0" applyFont="1" applyFill="1" applyBorder="1" applyAlignment="1">
      <alignment horizontal="left" wrapText="1"/>
    </xf>
    <xf numFmtId="0" fontId="26" fillId="0" borderId="12" xfId="0" applyFont="1" applyBorder="1" applyAlignment="1" applyProtection="1">
      <alignment horizontal="center" vertical="center"/>
      <protection locked="0"/>
    </xf>
    <xf numFmtId="0" fontId="26" fillId="0" borderId="7" xfId="0" applyFont="1" applyBorder="1" applyAlignment="1" applyProtection="1">
      <alignment horizontal="center" vertical="center"/>
      <protection locked="0"/>
    </xf>
    <xf numFmtId="0" fontId="48" fillId="7" borderId="69" xfId="0" applyFont="1" applyFill="1" applyBorder="1" applyAlignment="1">
      <alignment horizontal="center" vertical="center" textRotation="90"/>
    </xf>
    <xf numFmtId="0" fontId="48" fillId="7" borderId="70" xfId="0" applyFont="1" applyFill="1" applyBorder="1" applyAlignment="1">
      <alignment horizontal="center" vertical="center" textRotation="90"/>
    </xf>
    <xf numFmtId="0" fontId="48" fillId="7" borderId="71" xfId="0" applyFont="1" applyFill="1" applyBorder="1" applyAlignment="1">
      <alignment horizontal="center" vertical="center" textRotation="90"/>
    </xf>
    <xf numFmtId="0" fontId="52" fillId="0" borderId="0" xfId="0" applyFont="1" applyAlignment="1" applyProtection="1">
      <alignment horizontal="right" vertical="center" wrapText="1"/>
      <protection locked="0"/>
    </xf>
    <xf numFmtId="0" fontId="16" fillId="0" borderId="0" xfId="0" applyFont="1" applyAlignment="1" applyProtection="1">
      <alignment horizontal="right" vertical="center" wrapText="1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16" fillId="0" borderId="30" xfId="0" applyFont="1" applyBorder="1" applyAlignment="1" applyProtection="1">
      <alignment horizontal="center" vertical="center" wrapText="1"/>
      <protection locked="0"/>
    </xf>
    <xf numFmtId="0" fontId="53" fillId="6" borderId="16" xfId="0" applyFont="1" applyFill="1" applyBorder="1" applyAlignment="1">
      <alignment horizontal="center" vertical="center" wrapText="1"/>
    </xf>
    <xf numFmtId="0" fontId="53" fillId="6" borderId="3" xfId="0" applyFont="1" applyFill="1" applyBorder="1" applyAlignment="1">
      <alignment horizontal="center" vertical="center" wrapText="1"/>
    </xf>
    <xf numFmtId="0" fontId="53" fillId="6" borderId="33" xfId="0" applyFont="1" applyFill="1" applyBorder="1" applyAlignment="1">
      <alignment horizontal="center" vertical="center" wrapText="1"/>
    </xf>
    <xf numFmtId="0" fontId="53" fillId="6" borderId="4" xfId="0" applyFont="1" applyFill="1" applyBorder="1" applyAlignment="1">
      <alignment horizontal="center" vertical="center" wrapText="1"/>
    </xf>
    <xf numFmtId="0" fontId="53" fillId="6" borderId="1" xfId="0" applyFont="1" applyFill="1" applyBorder="1" applyAlignment="1">
      <alignment horizontal="center" vertical="center" wrapText="1"/>
    </xf>
    <xf numFmtId="0" fontId="53" fillId="6" borderId="29" xfId="0" applyFont="1" applyFill="1" applyBorder="1" applyAlignment="1">
      <alignment horizontal="center" vertical="center" wrapText="1"/>
    </xf>
    <xf numFmtId="0" fontId="26" fillId="0" borderId="10" xfId="0" applyFont="1" applyBorder="1" applyAlignment="1" applyProtection="1">
      <alignment horizontal="center" vertical="center"/>
      <protection locked="0"/>
    </xf>
    <xf numFmtId="0" fontId="41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45" fillId="3" borderId="34" xfId="0" applyFont="1" applyFill="1" applyBorder="1" applyAlignment="1">
      <alignment horizontal="center" vertical="center" wrapText="1"/>
    </xf>
    <xf numFmtId="0" fontId="45" fillId="3" borderId="35" xfId="0" applyFont="1" applyFill="1" applyBorder="1" applyAlignment="1">
      <alignment horizontal="center" vertical="center" wrapText="1"/>
    </xf>
    <xf numFmtId="0" fontId="21" fillId="8" borderId="13" xfId="0" applyFont="1" applyFill="1" applyBorder="1" applyAlignment="1" applyProtection="1">
      <alignment horizontal="center"/>
      <protection locked="0"/>
    </xf>
    <xf numFmtId="0" fontId="21" fillId="8" borderId="49" xfId="0" applyFont="1" applyFill="1" applyBorder="1" applyAlignment="1" applyProtection="1">
      <alignment horizontal="center"/>
      <protection locked="0"/>
    </xf>
    <xf numFmtId="0" fontId="21" fillId="8" borderId="58" xfId="0" applyFont="1" applyFill="1" applyBorder="1" applyAlignment="1">
      <alignment horizontal="right" vertical="center"/>
    </xf>
    <xf numFmtId="0" fontId="21" fillId="8" borderId="10" xfId="0" applyFont="1" applyFill="1" applyBorder="1" applyAlignment="1">
      <alignment horizontal="right" vertical="center"/>
    </xf>
    <xf numFmtId="0" fontId="40" fillId="8" borderId="49" xfId="0" applyFont="1" applyFill="1" applyBorder="1" applyAlignment="1">
      <alignment horizontal="center" vertical="center" wrapText="1"/>
    </xf>
    <xf numFmtId="0" fontId="21" fillId="8" borderId="54" xfId="0" applyFont="1" applyFill="1" applyBorder="1" applyAlignment="1">
      <alignment horizontal="center" vertical="center"/>
    </xf>
    <xf numFmtId="0" fontId="21" fillId="8" borderId="56" xfId="0" applyFont="1" applyFill="1" applyBorder="1" applyAlignment="1" applyProtection="1">
      <alignment horizontal="center" vertical="center"/>
      <protection locked="0"/>
    </xf>
    <xf numFmtId="0" fontId="21" fillId="8" borderId="57" xfId="0" applyFont="1" applyFill="1" applyBorder="1" applyAlignment="1" applyProtection="1">
      <alignment horizontal="center" vertical="center"/>
      <protection locked="0"/>
    </xf>
    <xf numFmtId="0" fontId="21" fillId="8" borderId="13" xfId="0" applyFont="1" applyFill="1" applyBorder="1" applyAlignment="1">
      <alignment horizontal="center"/>
    </xf>
    <xf numFmtId="49" fontId="21" fillId="8" borderId="13" xfId="0" applyNumberFormat="1" applyFont="1" applyFill="1" applyBorder="1" applyAlignment="1" applyProtection="1">
      <alignment horizontal="center" vertical="center"/>
      <protection locked="0"/>
    </xf>
    <xf numFmtId="49" fontId="21" fillId="8" borderId="49" xfId="0" applyNumberFormat="1" applyFont="1" applyFill="1" applyBorder="1" applyAlignment="1" applyProtection="1">
      <alignment horizontal="center" vertical="center"/>
      <protection locked="0"/>
    </xf>
    <xf numFmtId="0" fontId="21" fillId="8" borderId="55" xfId="0" applyFont="1" applyFill="1" applyBorder="1" applyAlignment="1">
      <alignment horizontal="center" vertical="center"/>
    </xf>
    <xf numFmtId="0" fontId="21" fillId="8" borderId="56" xfId="0" applyFont="1" applyFill="1" applyBorder="1" applyAlignment="1">
      <alignment horizontal="center" vertical="center"/>
    </xf>
    <xf numFmtId="0" fontId="33" fillId="8" borderId="56" xfId="0" applyFont="1" applyFill="1" applyBorder="1" applyAlignment="1">
      <alignment horizontal="center" vertical="center"/>
    </xf>
    <xf numFmtId="0" fontId="40" fillId="8" borderId="13" xfId="0" applyFont="1" applyFill="1" applyBorder="1" applyAlignment="1">
      <alignment horizontal="center" vertical="center"/>
    </xf>
    <xf numFmtId="0" fontId="40" fillId="8" borderId="12" xfId="0" applyFont="1" applyFill="1" applyBorder="1" applyAlignment="1" applyProtection="1">
      <alignment horizontal="center" vertical="center"/>
      <protection locked="0"/>
    </xf>
    <xf numFmtId="0" fontId="40" fillId="8" borderId="7" xfId="0" applyFont="1" applyFill="1" applyBorder="1" applyAlignment="1" applyProtection="1">
      <alignment horizontal="center" vertical="center"/>
      <protection locked="0"/>
    </xf>
    <xf numFmtId="0" fontId="40" fillId="8" borderId="31" xfId="0" applyFont="1" applyFill="1" applyBorder="1" applyAlignment="1" applyProtection="1">
      <alignment horizontal="center" vertical="center"/>
      <protection locked="0"/>
    </xf>
    <xf numFmtId="0" fontId="21" fillId="8" borderId="53" xfId="0" applyFont="1" applyFill="1" applyBorder="1" applyAlignment="1">
      <alignment horizontal="center" vertical="center"/>
    </xf>
    <xf numFmtId="0" fontId="21" fillId="8" borderId="54" xfId="0" applyFont="1" applyFill="1" applyBorder="1" applyAlignment="1">
      <alignment horizontal="right" vertical="center"/>
    </xf>
    <xf numFmtId="0" fontId="21" fillId="8" borderId="13" xfId="0" applyFont="1" applyFill="1" applyBorder="1" applyAlignment="1">
      <alignment horizontal="right" vertical="center"/>
    </xf>
    <xf numFmtId="0" fontId="21" fillId="8" borderId="2" xfId="0" applyFont="1" applyFill="1" applyBorder="1" applyAlignment="1">
      <alignment horizontal="center"/>
    </xf>
    <xf numFmtId="0" fontId="21" fillId="8" borderId="13" xfId="0" applyFont="1" applyFill="1" applyBorder="1" applyAlignment="1">
      <alignment horizontal="right"/>
    </xf>
    <xf numFmtId="0" fontId="0" fillId="0" borderId="13" xfId="0" applyBorder="1" applyAlignment="1">
      <alignment horizontal="center" wrapText="1"/>
    </xf>
    <xf numFmtId="0" fontId="0" fillId="0" borderId="13" xfId="0" applyBorder="1" applyAlignment="1">
      <alignment horizontal="center"/>
    </xf>
    <xf numFmtId="0" fontId="54" fillId="5" borderId="9" xfId="0" applyFont="1" applyFill="1" applyBorder="1" applyAlignment="1">
      <alignment horizontal="left" vertical="center" wrapText="1"/>
    </xf>
    <xf numFmtId="0" fontId="0" fillId="5" borderId="0" xfId="0" applyFill="1" applyAlignment="1">
      <alignment horizontal="left" vertical="center" wrapText="1"/>
    </xf>
    <xf numFmtId="0" fontId="0" fillId="5" borderId="2" xfId="0" applyFill="1" applyBorder="1" applyAlignment="1">
      <alignment horizontal="left" vertical="center" wrapText="1"/>
    </xf>
    <xf numFmtId="0" fontId="14" fillId="0" borderId="3" xfId="1" applyBorder="1" applyAlignment="1">
      <alignment horizontal="center"/>
    </xf>
    <xf numFmtId="0" fontId="14" fillId="0" borderId="5" xfId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0" borderId="0" xfId="0" quotePrefix="1" applyAlignment="1">
      <alignment vertical="center" wrapText="1"/>
    </xf>
    <xf numFmtId="0" fontId="0" fillId="0" borderId="0" xfId="0" quotePrefix="1" applyAlignment="1">
      <alignment vertical="center"/>
    </xf>
    <xf numFmtId="0" fontId="0" fillId="0" borderId="2" xfId="0" quotePrefix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10" fillId="5" borderId="4" xfId="0" applyFon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0" fontId="0" fillId="5" borderId="8" xfId="0" applyFill="1" applyBorder="1" applyAlignment="1">
      <alignment horizontal="left" vertical="center" wrapText="1"/>
    </xf>
    <xf numFmtId="0" fontId="0" fillId="0" borderId="9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9" xfId="0" applyBorder="1" applyAlignment="1">
      <alignment horizontal="left" vertical="top" wrapText="1"/>
    </xf>
  </cellXfs>
  <cellStyles count="2">
    <cellStyle name="Hipervínculo" xfId="1" builtinId="8"/>
    <cellStyle name="Normal" xfId="0" builtinId="0"/>
  </cellStyles>
  <dxfs count="2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106845</xdr:colOff>
      <xdr:row>0</xdr:row>
      <xdr:rowOff>423358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17E35F0-838E-4B87-9535-2A16C9406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94732" cy="423358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84260</xdr:colOff>
      <xdr:row>4</xdr:row>
      <xdr:rowOff>153866</xdr:rowOff>
    </xdr:from>
    <xdr:to>
      <xdr:col>0</xdr:col>
      <xdr:colOff>600808</xdr:colOff>
      <xdr:row>5</xdr:row>
      <xdr:rowOff>478710</xdr:rowOff>
    </xdr:to>
    <xdr:pic>
      <xdr:nvPicPr>
        <xdr:cNvPr id="42480" name="Imagen 5" descr="Resultado de imagen para Registrar">
          <a:extLst>
            <a:ext uri="{FF2B5EF4-FFF2-40B4-BE49-F238E27FC236}">
              <a16:creationId xmlns:a16="http://schemas.microsoft.com/office/drawing/2014/main" id="{00000000-0008-0000-0300-0000F0A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60" y="1567962"/>
          <a:ext cx="516548" cy="5153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11</xdr:row>
      <xdr:rowOff>28575</xdr:rowOff>
    </xdr:to>
    <xdr:sp macro="" textlink="">
      <xdr:nvSpPr>
        <xdr:cNvPr id="42481" name="t_gdiUdRWFC0cM:" descr="Resultado de imagen para autorizar">
          <a:extLst>
            <a:ext uri="{FF2B5EF4-FFF2-40B4-BE49-F238E27FC236}">
              <a16:creationId xmlns:a16="http://schemas.microsoft.com/office/drawing/2014/main" id="{00000000-0008-0000-0300-0000F1A50000}"/>
            </a:ext>
          </a:extLst>
        </xdr:cNvPr>
        <xdr:cNvSpPr>
          <a:spLocks noChangeAspect="1" noChangeArrowheads="1"/>
        </xdr:cNvSpPr>
      </xdr:nvSpPr>
      <xdr:spPr bwMode="auto">
        <a:xfrm>
          <a:off x="3810000" y="305752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304800</xdr:colOff>
      <xdr:row>7</xdr:row>
      <xdr:rowOff>304800</xdr:rowOff>
    </xdr:to>
    <xdr:sp macro="" textlink="">
      <xdr:nvSpPr>
        <xdr:cNvPr id="42482" name="t_gdiUdRWFC0cM:" descr="Resultado de imagen para autorizar">
          <a:extLst>
            <a:ext uri="{FF2B5EF4-FFF2-40B4-BE49-F238E27FC236}">
              <a16:creationId xmlns:a16="http://schemas.microsoft.com/office/drawing/2014/main" id="{00000000-0008-0000-0300-0000F2A50000}"/>
            </a:ext>
          </a:extLst>
        </xdr:cNvPr>
        <xdr:cNvSpPr>
          <a:spLocks noChangeAspect="1" noChangeArrowheads="1"/>
        </xdr:cNvSpPr>
      </xdr:nvSpPr>
      <xdr:spPr bwMode="auto">
        <a:xfrm>
          <a:off x="5334000" y="22764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304800</xdr:colOff>
      <xdr:row>7</xdr:row>
      <xdr:rowOff>304800</xdr:rowOff>
    </xdr:to>
    <xdr:sp macro="" textlink="">
      <xdr:nvSpPr>
        <xdr:cNvPr id="42483" name="Nf3iYQOzxHURWM:" descr="Resultado de imagen para autorizar">
          <a:extLst>
            <a:ext uri="{FF2B5EF4-FFF2-40B4-BE49-F238E27FC236}">
              <a16:creationId xmlns:a16="http://schemas.microsoft.com/office/drawing/2014/main" id="{00000000-0008-0000-0300-0000F3A50000}"/>
            </a:ext>
          </a:extLst>
        </xdr:cNvPr>
        <xdr:cNvSpPr>
          <a:spLocks noChangeAspect="1" noChangeArrowheads="1"/>
        </xdr:cNvSpPr>
      </xdr:nvSpPr>
      <xdr:spPr bwMode="auto">
        <a:xfrm>
          <a:off x="5334000" y="2276475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600075</xdr:colOff>
      <xdr:row>6</xdr:row>
      <xdr:rowOff>38100</xdr:rowOff>
    </xdr:from>
    <xdr:to>
      <xdr:col>7</xdr:col>
      <xdr:colOff>742950</xdr:colOff>
      <xdr:row>8</xdr:row>
      <xdr:rowOff>9526</xdr:rowOff>
    </xdr:to>
    <xdr:pic>
      <xdr:nvPicPr>
        <xdr:cNvPr id="42484" name="Imagen 9">
          <a:extLst>
            <a:ext uri="{FF2B5EF4-FFF2-40B4-BE49-F238E27FC236}">
              <a16:creationId xmlns:a16="http://schemas.microsoft.com/office/drawing/2014/main" id="{00000000-0008-0000-0300-0000F4A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2276475"/>
          <a:ext cx="90487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13</xdr:col>
      <xdr:colOff>590550</xdr:colOff>
      <xdr:row>36</xdr:row>
      <xdr:rowOff>38101</xdr:rowOff>
    </xdr:to>
    <xdr:sp macro="" textlink="">
      <xdr:nvSpPr>
        <xdr:cNvPr id="42485" name="AutoShape 41" descr="Resultado de imagen para telefono">
          <a:extLst>
            <a:ext uri="{FF2B5EF4-FFF2-40B4-BE49-F238E27FC236}">
              <a16:creationId xmlns:a16="http://schemas.microsoft.com/office/drawing/2014/main" id="{00000000-0008-0000-0300-0000F5A50000}"/>
            </a:ext>
          </a:extLst>
        </xdr:cNvPr>
        <xdr:cNvSpPr>
          <a:spLocks noChangeAspect="1" noChangeArrowheads="1"/>
        </xdr:cNvSpPr>
      </xdr:nvSpPr>
      <xdr:spPr bwMode="auto">
        <a:xfrm>
          <a:off x="5334000" y="6829425"/>
          <a:ext cx="5162550" cy="516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76200</xdr:colOff>
      <xdr:row>14</xdr:row>
      <xdr:rowOff>9525</xdr:rowOff>
    </xdr:from>
    <xdr:to>
      <xdr:col>7</xdr:col>
      <xdr:colOff>752475</xdr:colOff>
      <xdr:row>15</xdr:row>
      <xdr:rowOff>66676</xdr:rowOff>
    </xdr:to>
    <xdr:pic>
      <xdr:nvPicPr>
        <xdr:cNvPr id="42486" name="Imagen 12">
          <a:extLst>
            <a:ext uri="{FF2B5EF4-FFF2-40B4-BE49-F238E27FC236}">
              <a16:creationId xmlns:a16="http://schemas.microsoft.com/office/drawing/2014/main" id="{00000000-0008-0000-0300-0000F6A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0200" y="6838950"/>
          <a:ext cx="676275" cy="676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12</xdr:row>
      <xdr:rowOff>19050</xdr:rowOff>
    </xdr:from>
    <xdr:to>
      <xdr:col>1</xdr:col>
      <xdr:colOff>0</xdr:colOff>
      <xdr:row>12</xdr:row>
      <xdr:rowOff>533400</xdr:rowOff>
    </xdr:to>
    <xdr:pic>
      <xdr:nvPicPr>
        <xdr:cNvPr id="42487" name="Imagen 13">
          <a:extLst>
            <a:ext uri="{FF2B5EF4-FFF2-40B4-BE49-F238E27FC236}">
              <a16:creationId xmlns:a16="http://schemas.microsoft.com/office/drawing/2014/main" id="{00000000-0008-0000-0300-0000F7A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38525"/>
          <a:ext cx="762000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76200</xdr:rowOff>
    </xdr:from>
    <xdr:to>
      <xdr:col>7</xdr:col>
      <xdr:colOff>542925</xdr:colOff>
      <xdr:row>23</xdr:row>
      <xdr:rowOff>19050</xdr:rowOff>
    </xdr:to>
    <xdr:pic>
      <xdr:nvPicPr>
        <xdr:cNvPr id="42488" name="Imagen 25">
          <a:extLst>
            <a:ext uri="{FF2B5EF4-FFF2-40B4-BE49-F238E27FC236}">
              <a16:creationId xmlns:a16="http://schemas.microsoft.com/office/drawing/2014/main" id="{00000000-0008-0000-0300-0000F8A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0769"/>
        <a:stretch>
          <a:fillRect/>
        </a:stretch>
      </xdr:blipFill>
      <xdr:spPr bwMode="auto">
        <a:xfrm>
          <a:off x="0" y="8982075"/>
          <a:ext cx="587692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28575</xdr:colOff>
      <xdr:row>19</xdr:row>
      <xdr:rowOff>171450</xdr:rowOff>
    </xdr:from>
    <xdr:to>
      <xdr:col>2</xdr:col>
      <xdr:colOff>266700</xdr:colOff>
      <xdr:row>19</xdr:row>
      <xdr:rowOff>428625</xdr:rowOff>
    </xdr:to>
    <xdr:pic>
      <xdr:nvPicPr>
        <xdr:cNvPr id="42489" name="Imagen 26">
          <a:extLst>
            <a:ext uri="{FF2B5EF4-FFF2-40B4-BE49-F238E27FC236}">
              <a16:creationId xmlns:a16="http://schemas.microsoft.com/office/drawing/2014/main" id="{00000000-0008-0000-0300-0000F9A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" y="8582025"/>
          <a:ext cx="2381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510021</xdr:colOff>
      <xdr:row>21</xdr:row>
      <xdr:rowOff>116929</xdr:rowOff>
    </xdr:from>
    <xdr:to>
      <xdr:col>7</xdr:col>
      <xdr:colOff>687099</xdr:colOff>
      <xdr:row>22</xdr:row>
      <xdr:rowOff>169006</xdr:rowOff>
    </xdr:to>
    <xdr:sp macro="" textlink="">
      <xdr:nvSpPr>
        <xdr:cNvPr id="8" name="Flecha arriba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 rot="19648140">
          <a:off x="5847831" y="6363424"/>
          <a:ext cx="170865" cy="251907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EC"/>
        </a:p>
      </xdr:txBody>
    </xdr:sp>
    <xdr:clientData/>
  </xdr:twoCellAnchor>
  <xdr:twoCellAnchor editAs="oneCell">
    <xdr:from>
      <xdr:col>0</xdr:col>
      <xdr:colOff>0</xdr:colOff>
      <xdr:row>25</xdr:row>
      <xdr:rowOff>152400</xdr:rowOff>
    </xdr:from>
    <xdr:to>
      <xdr:col>7</xdr:col>
      <xdr:colOff>647700</xdr:colOff>
      <xdr:row>31</xdr:row>
      <xdr:rowOff>9525</xdr:rowOff>
    </xdr:to>
    <xdr:pic>
      <xdr:nvPicPr>
        <xdr:cNvPr id="42491" name="Imagen 28">
          <a:extLst>
            <a:ext uri="{FF2B5EF4-FFF2-40B4-BE49-F238E27FC236}">
              <a16:creationId xmlns:a16="http://schemas.microsoft.com/office/drawing/2014/main" id="{00000000-0008-0000-0300-0000FBA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10775"/>
          <a:ext cx="5981700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32</xdr:row>
      <xdr:rowOff>28575</xdr:rowOff>
    </xdr:from>
    <xdr:to>
      <xdr:col>7</xdr:col>
      <xdr:colOff>723900</xdr:colOff>
      <xdr:row>35</xdr:row>
      <xdr:rowOff>38100</xdr:rowOff>
    </xdr:to>
    <xdr:pic>
      <xdr:nvPicPr>
        <xdr:cNvPr id="42492" name="Imagen 30">
          <a:extLst>
            <a:ext uri="{FF2B5EF4-FFF2-40B4-BE49-F238E27FC236}">
              <a16:creationId xmlns:a16="http://schemas.microsoft.com/office/drawing/2014/main" id="{00000000-0008-0000-0300-0000FCA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3447"/>
        <a:stretch>
          <a:fillRect/>
        </a:stretch>
      </xdr:blipFill>
      <xdr:spPr bwMode="auto">
        <a:xfrm>
          <a:off x="0" y="11220450"/>
          <a:ext cx="6057900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36</xdr:row>
      <xdr:rowOff>114300</xdr:rowOff>
    </xdr:from>
    <xdr:to>
      <xdr:col>8</xdr:col>
      <xdr:colOff>9525</xdr:colOff>
      <xdr:row>41</xdr:row>
      <xdr:rowOff>38100</xdr:rowOff>
    </xdr:to>
    <xdr:pic>
      <xdr:nvPicPr>
        <xdr:cNvPr id="42493" name="Imagen 32">
          <a:extLst>
            <a:ext uri="{FF2B5EF4-FFF2-40B4-BE49-F238E27FC236}">
              <a16:creationId xmlns:a16="http://schemas.microsoft.com/office/drawing/2014/main" id="{00000000-0008-0000-0300-0000FDA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2001500"/>
          <a:ext cx="607695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304800</xdr:colOff>
      <xdr:row>14</xdr:row>
      <xdr:rowOff>304800</xdr:rowOff>
    </xdr:to>
    <xdr:sp macro="" textlink="">
      <xdr:nvSpPr>
        <xdr:cNvPr id="42494" name="E8GjevbIs5j06M:" descr="Resultado de imagen para permisos informáticos">
          <a:extLst>
            <a:ext uri="{FF2B5EF4-FFF2-40B4-BE49-F238E27FC236}">
              <a16:creationId xmlns:a16="http://schemas.microsoft.com/office/drawing/2014/main" id="{00000000-0008-0000-0300-0000FEA50000}"/>
            </a:ext>
          </a:extLst>
        </xdr:cNvPr>
        <xdr:cNvSpPr>
          <a:spLocks noChangeAspect="1" noChangeArrowheads="1"/>
        </xdr:cNvSpPr>
      </xdr:nvSpPr>
      <xdr:spPr bwMode="auto">
        <a:xfrm>
          <a:off x="5334000" y="44005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561692</xdr:colOff>
      <xdr:row>45</xdr:row>
      <xdr:rowOff>154720</xdr:rowOff>
    </xdr:from>
    <xdr:to>
      <xdr:col>2</xdr:col>
      <xdr:colOff>85254</xdr:colOff>
      <xdr:row>46</xdr:row>
      <xdr:rowOff>113976</xdr:rowOff>
    </xdr:to>
    <xdr:sp macro="" textlink="">
      <xdr:nvSpPr>
        <xdr:cNvPr id="3" name="Flecha arrib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8238120">
          <a:off x="1391595" y="13717092"/>
          <a:ext cx="149756" cy="285562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0</xdr:colOff>
      <xdr:row>42</xdr:row>
      <xdr:rowOff>200025</xdr:rowOff>
    </xdr:from>
    <xdr:to>
      <xdr:col>7</xdr:col>
      <xdr:colOff>761238</xdr:colOff>
      <xdr:row>49</xdr:row>
      <xdr:rowOff>9524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3230225"/>
          <a:ext cx="6095238" cy="11715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8</xdr:col>
      <xdr:colOff>12975</xdr:colOff>
      <xdr:row>55</xdr:row>
      <xdr:rowOff>85725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14582775"/>
          <a:ext cx="6108975" cy="1038225"/>
        </a:xfrm>
        <a:prstGeom prst="rect">
          <a:avLst/>
        </a:prstGeom>
      </xdr:spPr>
    </xdr:pic>
    <xdr:clientData/>
  </xdr:twoCellAnchor>
  <xdr:twoCellAnchor>
    <xdr:from>
      <xdr:col>2</xdr:col>
      <xdr:colOff>514350</xdr:colOff>
      <xdr:row>52</xdr:row>
      <xdr:rowOff>133350</xdr:rowOff>
    </xdr:from>
    <xdr:to>
      <xdr:col>3</xdr:col>
      <xdr:colOff>76200</xdr:colOff>
      <xdr:row>53</xdr:row>
      <xdr:rowOff>85725</xdr:rowOff>
    </xdr:to>
    <xdr:sp macro="" textlink="">
      <xdr:nvSpPr>
        <xdr:cNvPr id="6" name="Flecha izquierda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rot="990260">
          <a:off x="2038350" y="15097125"/>
          <a:ext cx="323850" cy="142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0</xdr:colOff>
      <xdr:row>57</xdr:row>
      <xdr:rowOff>9525</xdr:rowOff>
    </xdr:from>
    <xdr:to>
      <xdr:col>8</xdr:col>
      <xdr:colOff>9525</xdr:colOff>
      <xdr:row>63</xdr:row>
      <xdr:rowOff>48402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16173450"/>
          <a:ext cx="6105525" cy="1181877"/>
        </a:xfrm>
        <a:prstGeom prst="rect">
          <a:avLst/>
        </a:prstGeom>
      </xdr:spPr>
    </xdr:pic>
    <xdr:clientData/>
  </xdr:twoCellAnchor>
  <xdr:twoCellAnchor>
    <xdr:from>
      <xdr:col>7</xdr:col>
      <xdr:colOff>208911</xdr:colOff>
      <xdr:row>58</xdr:row>
      <xdr:rowOff>151279</xdr:rowOff>
    </xdr:from>
    <xdr:to>
      <xdr:col>7</xdr:col>
      <xdr:colOff>532761</xdr:colOff>
      <xdr:row>59</xdr:row>
      <xdr:rowOff>81633</xdr:rowOff>
    </xdr:to>
    <xdr:sp macro="" textlink="">
      <xdr:nvSpPr>
        <xdr:cNvPr id="26" name="Flecha izquierda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 rot="990260" flipV="1">
          <a:off x="5542911" y="16505704"/>
          <a:ext cx="323850" cy="12085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191810</xdr:colOff>
      <xdr:row>60</xdr:row>
      <xdr:rowOff>26209</xdr:rowOff>
    </xdr:from>
    <xdr:to>
      <xdr:col>5</xdr:col>
      <xdr:colOff>413394</xdr:colOff>
      <xdr:row>61</xdr:row>
      <xdr:rowOff>162899</xdr:rowOff>
    </xdr:to>
    <xdr:sp macro="" textlink="">
      <xdr:nvSpPr>
        <xdr:cNvPr id="27" name="Flecha izquierda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 rot="6570094">
          <a:off x="3949007" y="16814437"/>
          <a:ext cx="327190" cy="22158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2:B6" totalsRowShown="0">
  <autoFilter ref="B2:B6" xr:uid="{00000000-0009-0000-0100-000002000000}"/>
  <tableColumns count="1">
    <tableColumn id="1" xr3:uid="{00000000-0010-0000-0000-000001000000}" name="SECT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E2:E11" totalsRowShown="0">
  <autoFilter ref="E2:E11" xr:uid="{00000000-0009-0000-0100-000003000000}"/>
  <tableColumns count="1">
    <tableColumn id="1" xr3:uid="{00000000-0010-0000-0100-000001000000}" name="ELECTRIC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G2:G33" totalsRowShown="0">
  <autoFilter ref="G2:G33" xr:uid="{00000000-0009-0000-0100-000004000000}"/>
  <tableColumns count="1">
    <tableColumn id="1" xr3:uid="{00000000-0010-0000-0200-000001000000}" name="HIDROCARBURIFER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I2:I40" totalsRowShown="0">
  <autoFilter ref="I2:I40" xr:uid="{00000000-0009-0000-0100-000005000000}"/>
  <tableColumns count="1">
    <tableColumn id="1" xr3:uid="{00000000-0010-0000-0300-000001000000}" name="MINER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abla7" displayName="Tabla7" ref="M2:M3" totalsRowShown="0">
  <autoFilter ref="M2:M3" xr:uid="{00000000-0009-0000-0100-000007000000}"/>
  <tableColumns count="1">
    <tableColumn id="1" xr3:uid="{00000000-0010-0000-0400-000001000000}" name="OT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52"/>
  <sheetViews>
    <sheetView tabSelected="1" zoomScale="142" zoomScaleNormal="142" workbookViewId="0">
      <selection activeCell="E1" sqref="E1:P1"/>
    </sheetView>
  </sheetViews>
  <sheetFormatPr defaultColWidth="11.42578125" defaultRowHeight="9.75"/>
  <cols>
    <col min="1" max="1" width="2.140625" style="1" customWidth="1"/>
    <col min="2" max="4" width="5.7109375" style="1" customWidth="1"/>
    <col min="5" max="5" width="3.5703125" style="1" customWidth="1"/>
    <col min="6" max="6" width="4.7109375" style="1" customWidth="1"/>
    <col min="7" max="7" width="1.7109375" style="1" customWidth="1"/>
    <col min="8" max="8" width="1.85546875" style="1" customWidth="1"/>
    <col min="9" max="9" width="3.5703125" style="1" customWidth="1"/>
    <col min="10" max="10" width="1" style="1" customWidth="1"/>
    <col min="11" max="11" width="5.7109375" style="1" customWidth="1"/>
    <col min="12" max="12" width="14.28515625" style="1" customWidth="1"/>
    <col min="13" max="13" width="18.42578125" style="1" customWidth="1"/>
    <col min="14" max="17" width="5.7109375" style="1" customWidth="1"/>
    <col min="18" max="18" width="4.42578125" style="1" customWidth="1"/>
    <col min="19" max="19" width="3.28515625" style="1" customWidth="1"/>
    <col min="20" max="20" width="9" style="1" customWidth="1"/>
    <col min="21" max="21" width="19.42578125" style="1" bestFit="1" customWidth="1"/>
    <col min="22" max="22" width="12.85546875" style="1" bestFit="1" customWidth="1"/>
    <col min="23" max="23" width="12.28515625" style="1" bestFit="1" customWidth="1"/>
    <col min="24" max="16384" width="11.42578125" style="1"/>
  </cols>
  <sheetData>
    <row r="1" spans="1:22" ht="39" customHeight="1">
      <c r="A1" s="169"/>
      <c r="B1" s="169"/>
      <c r="C1" s="169"/>
      <c r="D1" s="169"/>
      <c r="E1" s="170" t="s">
        <v>0</v>
      </c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1"/>
      <c r="Q1" s="166" t="s">
        <v>1</v>
      </c>
      <c r="R1" s="167"/>
      <c r="S1" s="167"/>
      <c r="T1" s="168"/>
    </row>
    <row r="2" spans="1:22" ht="1.5" customHeight="1" thickBot="1">
      <c r="A2" s="56"/>
      <c r="B2" s="79"/>
      <c r="C2" s="79"/>
      <c r="D2" s="79"/>
      <c r="E2" s="79"/>
      <c r="F2" s="7"/>
      <c r="G2" s="7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8"/>
      <c r="T2" s="57"/>
    </row>
    <row r="3" spans="1:22" ht="21" customHeight="1">
      <c r="A3" s="222" t="s">
        <v>2</v>
      </c>
      <c r="B3" s="216" t="s">
        <v>3</v>
      </c>
      <c r="C3" s="217"/>
      <c r="D3" s="197" t="s">
        <v>4</v>
      </c>
      <c r="E3" s="197"/>
      <c r="F3" s="197"/>
      <c r="G3" s="197"/>
      <c r="H3" s="197"/>
      <c r="I3" s="197"/>
      <c r="J3" s="197"/>
      <c r="K3" s="197"/>
      <c r="L3" s="194"/>
      <c r="M3" s="194"/>
      <c r="N3" s="194"/>
      <c r="O3" s="194"/>
      <c r="P3" s="198" t="s">
        <v>5</v>
      </c>
      <c r="Q3" s="199"/>
      <c r="R3" s="195"/>
      <c r="S3" s="195"/>
      <c r="T3" s="196"/>
    </row>
    <row r="4" spans="1:22" ht="9" customHeight="1">
      <c r="A4" s="223"/>
      <c r="B4" s="213" t="s">
        <v>6</v>
      </c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4"/>
    </row>
    <row r="5" spans="1:22" ht="9.75" customHeight="1">
      <c r="A5" s="223"/>
      <c r="B5" s="100" t="s">
        <v>7</v>
      </c>
      <c r="C5" s="200" t="s">
        <v>8</v>
      </c>
      <c r="D5" s="201"/>
      <c r="E5" s="201"/>
      <c r="F5" s="202"/>
      <c r="G5" s="203" t="s">
        <v>9</v>
      </c>
      <c r="H5" s="204"/>
      <c r="I5" s="204"/>
      <c r="J5" s="204"/>
      <c r="K5" s="204"/>
      <c r="L5" s="204"/>
      <c r="M5" s="204"/>
      <c r="N5" s="204"/>
      <c r="O5" s="204"/>
      <c r="P5" s="205"/>
      <c r="Q5" s="175" t="s">
        <v>10</v>
      </c>
      <c r="R5" s="176"/>
      <c r="S5" s="177"/>
      <c r="T5" s="58">
        <f ca="1">IF(Q5=" "," ",TODAY())</f>
        <v>46008</v>
      </c>
    </row>
    <row r="6" spans="1:22" s="3" customFormat="1" ht="8.25" customHeight="1">
      <c r="A6" s="223"/>
      <c r="B6" s="172" t="s">
        <v>11</v>
      </c>
      <c r="C6" s="172"/>
      <c r="D6" s="172"/>
      <c r="E6" s="172"/>
      <c r="F6" s="172"/>
      <c r="G6" s="215" t="str">
        <f>IF(C5="Matriz","(Seleccione Dirección Matriz)",IF(C5="Regional","(Seleccione Dirección Regional)","(Antes debe seleccionar entre Nivel Central / Desconcentrado)"))</f>
        <v>(Antes debe seleccionar entre Nivel Central / Desconcentrado)</v>
      </c>
      <c r="H6" s="215"/>
      <c r="I6" s="215"/>
      <c r="J6" s="215"/>
      <c r="K6" s="215"/>
      <c r="L6" s="215"/>
      <c r="M6" s="215"/>
      <c r="N6" s="215"/>
      <c r="O6" s="11"/>
      <c r="P6" s="28"/>
      <c r="Q6" s="172" t="s">
        <v>12</v>
      </c>
      <c r="R6" s="172"/>
      <c r="S6" s="172"/>
      <c r="T6" s="59" t="s">
        <v>13</v>
      </c>
    </row>
    <row r="7" spans="1:22" s="3" customFormat="1" ht="4.5" customHeight="1">
      <c r="A7" s="223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3"/>
      <c r="N7" s="53"/>
      <c r="O7" s="53"/>
      <c r="P7" s="52"/>
      <c r="Q7" s="52"/>
      <c r="R7" s="52"/>
      <c r="S7" s="52"/>
      <c r="T7" s="60"/>
    </row>
    <row r="8" spans="1:22" s="2" customFormat="1" ht="10.5" customHeight="1">
      <c r="A8" s="223"/>
      <c r="B8" s="181"/>
      <c r="C8" s="181"/>
      <c r="D8" s="181"/>
      <c r="E8" s="181"/>
      <c r="F8" s="181"/>
      <c r="G8" s="88" t="s">
        <v>14</v>
      </c>
      <c r="H8" s="88"/>
      <c r="I8" s="88"/>
      <c r="J8" s="88"/>
      <c r="K8" s="88"/>
      <c r="M8" s="180"/>
      <c r="N8" s="180"/>
      <c r="O8" s="208" t="s">
        <v>15</v>
      </c>
      <c r="P8" s="208"/>
      <c r="Q8" s="209" t="s">
        <v>16</v>
      </c>
      <c r="R8" s="209"/>
      <c r="S8" s="209"/>
      <c r="T8" s="210"/>
    </row>
    <row r="9" spans="1:22" s="13" customFormat="1" ht="9" customHeight="1">
      <c r="A9" s="223"/>
      <c r="B9" s="211" t="str">
        <f>IF(ISBLANK(B8),"Digite Nombre del Coordinador / Director / Director Ejecutivo",IF(B8="SI","Nombre, Delegado DTIC, Seguridad de la Información","Nombre del Coordinador / Director / Director Ejecutivo"))</f>
        <v>Digite Nombre del Coordinador / Director / Director Ejecutivo</v>
      </c>
      <c r="C9" s="211"/>
      <c r="D9" s="211"/>
      <c r="E9" s="211"/>
      <c r="F9" s="211"/>
      <c r="G9" s="211"/>
      <c r="H9" s="211"/>
      <c r="I9" s="211"/>
      <c r="J9" s="12"/>
      <c r="K9" s="12"/>
      <c r="L9" s="12"/>
      <c r="M9" s="212" t="str">
        <f>IF(M8="","(Cédula de Ciudadanía)",IF(1=1,"(Cédula de Ciudadanía)","(Número de Cédula NO VÁLIDO)"))</f>
        <v>(Cédula de Ciudadanía)</v>
      </c>
      <c r="N9" s="212"/>
      <c r="O9" s="45"/>
      <c r="P9" s="29"/>
      <c r="Q9" s="190" t="s">
        <v>17</v>
      </c>
      <c r="R9" s="190"/>
      <c r="S9" s="190"/>
      <c r="T9" s="191"/>
    </row>
    <row r="10" spans="1:22" s="2" customFormat="1" ht="9" customHeight="1">
      <c r="A10" s="223"/>
      <c r="B10" s="206" t="s">
        <v>18</v>
      </c>
      <c r="C10" s="206"/>
      <c r="D10" s="206"/>
      <c r="E10" s="206"/>
      <c r="F10" s="206"/>
      <c r="G10" s="206"/>
      <c r="H10" s="206"/>
      <c r="I10" s="206"/>
      <c r="J10" s="206"/>
      <c r="K10" s="206"/>
      <c r="L10" s="206"/>
      <c r="M10" s="206"/>
      <c r="N10" s="206"/>
      <c r="O10" s="206"/>
      <c r="P10" s="206"/>
      <c r="Q10" s="206"/>
      <c r="R10" s="206"/>
      <c r="S10" s="206"/>
      <c r="T10" s="207"/>
      <c r="V10" s="21"/>
    </row>
    <row r="11" spans="1:22" ht="9.75" customHeight="1">
      <c r="A11" s="223"/>
      <c r="B11" s="105" t="s">
        <v>19</v>
      </c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6"/>
    </row>
    <row r="12" spans="1:22" s="25" customFormat="1" ht="9.75" customHeight="1">
      <c r="A12" s="223"/>
      <c r="B12" s="186" t="s">
        <v>20</v>
      </c>
      <c r="C12" s="186"/>
      <c r="D12" s="186"/>
      <c r="E12" s="135"/>
      <c r="F12" s="135"/>
      <c r="G12" s="135"/>
      <c r="H12" s="135"/>
      <c r="I12" s="135"/>
      <c r="J12" s="189"/>
      <c r="K12" s="189"/>
      <c r="L12" s="189"/>
      <c r="M12" s="189"/>
      <c r="N12" s="178"/>
      <c r="O12" s="178"/>
      <c r="P12" s="178"/>
      <c r="Q12" s="178"/>
      <c r="R12" s="178"/>
      <c r="S12" s="178"/>
      <c r="T12" s="179"/>
      <c r="V12" s="54"/>
    </row>
    <row r="13" spans="1:22" s="3" customFormat="1" ht="9" customHeight="1">
      <c r="A13" s="223"/>
      <c r="B13" s="234"/>
      <c r="C13" s="234"/>
      <c r="D13" s="234"/>
      <c r="E13" s="193" t="str">
        <f>IF(E12="","(Primer nombre)","(Primer nombre)")</f>
        <v>(Primer nombre)</v>
      </c>
      <c r="F13" s="192"/>
      <c r="G13" s="192"/>
      <c r="H13" s="192"/>
      <c r="I13" s="192"/>
      <c r="J13" s="192" t="str">
        <f>IF(J12="","(Segundo nombre)","(Segundo nombre)")</f>
        <v>(Segundo nombre)</v>
      </c>
      <c r="K13" s="192"/>
      <c r="L13" s="192"/>
      <c r="M13" s="192"/>
      <c r="N13" s="173" t="str">
        <f>IF(N12="","(Primer apellido)","(Primer apellido)")</f>
        <v>(Primer apellido)</v>
      </c>
      <c r="O13" s="173"/>
      <c r="P13" s="173"/>
      <c r="Q13" s="173"/>
      <c r="R13" s="173" t="str">
        <f>IF(R12="","(Segundo apellido)","(Segundo apellido)")</f>
        <v>(Segundo apellido)</v>
      </c>
      <c r="S13" s="173"/>
      <c r="T13" s="174"/>
      <c r="V13" s="20"/>
    </row>
    <row r="14" spans="1:22" s="10" customFormat="1" ht="9" customHeight="1">
      <c r="A14" s="223"/>
      <c r="B14" s="186" t="str">
        <f>IF(E14="","Cédula de Ciudadanía",IF(1=1,"(Cédula de Ciudadanía)","(Número de Cédula NO VÁLIDO)"))</f>
        <v>Cédula de Ciudadanía</v>
      </c>
      <c r="C14" s="186"/>
      <c r="D14" s="186"/>
      <c r="E14" s="161"/>
      <c r="F14" s="162"/>
      <c r="G14" s="162"/>
      <c r="H14" s="162"/>
      <c r="I14" s="162"/>
      <c r="J14" s="162"/>
      <c r="K14" s="163"/>
      <c r="L14" s="41" t="s">
        <v>21</v>
      </c>
      <c r="M14" s="182"/>
      <c r="N14" s="182"/>
      <c r="O14" s="182"/>
      <c r="P14" s="182"/>
      <c r="Q14" s="183" t="s">
        <v>22</v>
      </c>
      <c r="R14" s="184"/>
      <c r="S14" s="184"/>
      <c r="T14" s="185"/>
    </row>
    <row r="15" spans="1:22" ht="21.75" customHeight="1">
      <c r="A15" s="223"/>
      <c r="B15" s="187" t="s">
        <v>23</v>
      </c>
      <c r="C15" s="188"/>
      <c r="D15" s="188"/>
      <c r="E15" s="242"/>
      <c r="F15" s="243"/>
      <c r="G15" s="243"/>
      <c r="H15" s="243"/>
      <c r="I15" s="243"/>
      <c r="J15" s="243"/>
      <c r="K15" s="243"/>
      <c r="L15" s="243"/>
      <c r="M15" s="251" t="s">
        <v>24</v>
      </c>
      <c r="N15" s="252"/>
      <c r="O15" s="252"/>
      <c r="P15" s="252"/>
      <c r="Q15" s="252"/>
      <c r="R15" s="252"/>
      <c r="S15" s="252"/>
      <c r="T15" s="253"/>
    </row>
    <row r="16" spans="1:22" ht="16.5" customHeight="1">
      <c r="A16" s="223"/>
      <c r="B16" s="164" t="s">
        <v>25</v>
      </c>
      <c r="C16" s="165"/>
      <c r="D16" s="165"/>
      <c r="E16" s="242"/>
      <c r="F16" s="243"/>
      <c r="G16" s="243"/>
      <c r="H16" s="243"/>
      <c r="I16" s="243"/>
      <c r="J16" s="243"/>
      <c r="K16" s="243"/>
      <c r="L16" s="257"/>
      <c r="M16" s="254"/>
      <c r="N16" s="255"/>
      <c r="O16" s="255"/>
      <c r="P16" s="255"/>
      <c r="Q16" s="255"/>
      <c r="R16" s="255"/>
      <c r="S16" s="255"/>
      <c r="T16" s="256"/>
    </row>
    <row r="17" spans="1:20" ht="9.75" customHeight="1" thickBot="1">
      <c r="A17" s="224"/>
      <c r="B17" s="260" t="s">
        <v>26</v>
      </c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260"/>
      <c r="T17" s="261"/>
    </row>
    <row r="18" spans="1:20" ht="9" customHeight="1">
      <c r="A18" s="244" t="s">
        <v>27</v>
      </c>
      <c r="B18" s="155" t="s">
        <v>28</v>
      </c>
      <c r="C18" s="155"/>
      <c r="D18" s="155"/>
      <c r="E18" s="155"/>
      <c r="F18" s="155"/>
      <c r="G18" s="50">
        <v>1</v>
      </c>
      <c r="H18" s="47"/>
      <c r="I18" s="48" t="str">
        <f t="shared" ref="I18:I22" si="0">IF(K18="","","SI")</f>
        <v/>
      </c>
      <c r="J18" s="49"/>
      <c r="K18" s="225"/>
      <c r="L18" s="225"/>
      <c r="M18" s="225"/>
      <c r="N18" s="225"/>
      <c r="O18" s="225"/>
      <c r="P18" s="225"/>
      <c r="Q18" s="225"/>
      <c r="R18" s="225"/>
      <c r="S18" s="225"/>
      <c r="T18" s="226"/>
    </row>
    <row r="19" spans="1:20" ht="9" customHeight="1">
      <c r="A19" s="245"/>
      <c r="B19" s="156"/>
      <c r="C19" s="156"/>
      <c r="D19" s="156"/>
      <c r="E19" s="156"/>
      <c r="F19" s="156"/>
      <c r="G19" s="43">
        <v>2</v>
      </c>
      <c r="H19" s="35"/>
      <c r="I19" s="42"/>
      <c r="J19" s="36"/>
      <c r="K19" s="159"/>
      <c r="L19" s="159"/>
      <c r="M19" s="159"/>
      <c r="N19" s="159"/>
      <c r="O19" s="159"/>
      <c r="P19" s="159"/>
      <c r="Q19" s="159"/>
      <c r="R19" s="159"/>
      <c r="S19" s="159"/>
      <c r="T19" s="160"/>
    </row>
    <row r="20" spans="1:20" ht="9" customHeight="1">
      <c r="A20" s="245"/>
      <c r="B20" s="156"/>
      <c r="C20" s="156"/>
      <c r="D20" s="156"/>
      <c r="E20" s="156"/>
      <c r="F20" s="156"/>
      <c r="G20" s="43">
        <v>3</v>
      </c>
      <c r="H20" s="35"/>
      <c r="I20" s="42"/>
      <c r="J20" s="36"/>
      <c r="K20" s="153"/>
      <c r="L20" s="153"/>
      <c r="M20" s="153"/>
      <c r="N20" s="153"/>
      <c r="O20" s="153"/>
      <c r="P20" s="153"/>
      <c r="Q20" s="153"/>
      <c r="R20" s="153"/>
      <c r="S20" s="153"/>
      <c r="T20" s="154"/>
    </row>
    <row r="21" spans="1:20" ht="9" customHeight="1">
      <c r="A21" s="245"/>
      <c r="B21" s="156"/>
      <c r="C21" s="156"/>
      <c r="D21" s="156"/>
      <c r="E21" s="156"/>
      <c r="F21" s="156"/>
      <c r="G21" s="43">
        <v>4</v>
      </c>
      <c r="H21" s="35"/>
      <c r="I21" s="42" t="str">
        <f t="shared" si="0"/>
        <v/>
      </c>
      <c r="J21" s="36"/>
      <c r="K21" s="227"/>
      <c r="L21" s="227"/>
      <c r="M21" s="227"/>
      <c r="N21" s="227"/>
      <c r="O21" s="227"/>
      <c r="P21" s="227"/>
      <c r="Q21" s="227"/>
      <c r="R21" s="227"/>
      <c r="S21" s="227"/>
      <c r="T21" s="228"/>
    </row>
    <row r="22" spans="1:20" ht="9" customHeight="1" thickBot="1">
      <c r="A22" s="245"/>
      <c r="B22" s="157"/>
      <c r="C22" s="157"/>
      <c r="D22" s="157"/>
      <c r="E22" s="157"/>
      <c r="F22" s="157"/>
      <c r="G22" s="96">
        <v>5</v>
      </c>
      <c r="H22" s="97"/>
      <c r="I22" s="98" t="str">
        <f t="shared" si="0"/>
        <v/>
      </c>
      <c r="J22" s="99"/>
      <c r="K22" s="229"/>
      <c r="L22" s="229"/>
      <c r="M22" s="229"/>
      <c r="N22" s="229"/>
      <c r="O22" s="229"/>
      <c r="P22" s="229"/>
      <c r="Q22" s="229"/>
      <c r="R22" s="229"/>
      <c r="S22" s="229"/>
      <c r="T22" s="230"/>
    </row>
    <row r="23" spans="1:20" ht="9" customHeight="1">
      <c r="A23" s="245"/>
      <c r="B23" s="155" t="s">
        <v>29</v>
      </c>
      <c r="C23" s="155"/>
      <c r="D23" s="155"/>
      <c r="E23" s="155"/>
      <c r="F23" s="155"/>
      <c r="G23" s="50">
        <v>1</v>
      </c>
      <c r="H23" s="47"/>
      <c r="I23" s="48" t="str">
        <f t="shared" ref="I23" si="1">IF(K23="","","SI")</f>
        <v/>
      </c>
      <c r="J23" s="49"/>
      <c r="K23" s="92"/>
      <c r="L23" s="93"/>
      <c r="M23" s="92" t="s">
        <v>30</v>
      </c>
      <c r="N23" s="94"/>
      <c r="O23" s="107"/>
      <c r="P23" s="107"/>
      <c r="Q23" s="107"/>
      <c r="R23" s="94"/>
      <c r="S23" s="94"/>
      <c r="T23" s="95"/>
    </row>
    <row r="24" spans="1:20" ht="9" customHeight="1">
      <c r="A24" s="245"/>
      <c r="B24" s="156"/>
      <c r="C24" s="156"/>
      <c r="D24" s="156"/>
      <c r="E24" s="156"/>
      <c r="F24" s="156"/>
      <c r="G24" s="43">
        <v>2</v>
      </c>
      <c r="H24" s="35"/>
      <c r="I24" s="42"/>
      <c r="J24" s="36"/>
      <c r="K24" s="40"/>
      <c r="L24" s="88"/>
      <c r="M24" s="40" t="s">
        <v>30</v>
      </c>
      <c r="N24" s="44"/>
      <c r="O24" s="108"/>
      <c r="P24" s="108"/>
      <c r="Q24" s="108"/>
      <c r="R24" s="44"/>
      <c r="S24" s="44"/>
      <c r="T24" s="51"/>
    </row>
    <row r="25" spans="1:20" ht="9" customHeight="1">
      <c r="A25" s="245"/>
      <c r="B25" s="156"/>
      <c r="C25" s="156"/>
      <c r="D25" s="156"/>
      <c r="E25" s="156"/>
      <c r="F25" s="156"/>
      <c r="G25" s="43">
        <v>3</v>
      </c>
      <c r="H25" s="35"/>
      <c r="I25" s="42"/>
      <c r="J25" s="36"/>
      <c r="K25" s="40"/>
      <c r="L25" s="88"/>
      <c r="M25" s="40" t="s">
        <v>30</v>
      </c>
      <c r="N25" s="44"/>
      <c r="O25" s="109"/>
      <c r="P25" s="109"/>
      <c r="Q25" s="109"/>
      <c r="R25" s="44"/>
      <c r="S25" s="44"/>
      <c r="T25" s="51"/>
    </row>
    <row r="26" spans="1:20" ht="9" customHeight="1" thickBot="1">
      <c r="A26" s="245"/>
      <c r="B26" s="157"/>
      <c r="C26" s="157"/>
      <c r="D26" s="157"/>
      <c r="E26" s="157"/>
      <c r="F26" s="157"/>
      <c r="G26" s="96">
        <v>4</v>
      </c>
      <c r="H26" s="97"/>
      <c r="I26" s="98"/>
      <c r="J26" s="99"/>
      <c r="K26" s="89"/>
      <c r="L26" s="89"/>
      <c r="M26" s="89"/>
      <c r="N26" s="89"/>
      <c r="O26" s="158"/>
      <c r="P26" s="158"/>
      <c r="Q26" s="158"/>
      <c r="R26" s="89"/>
      <c r="S26" s="89"/>
      <c r="T26" s="90"/>
    </row>
    <row r="27" spans="1:20" ht="9" customHeight="1">
      <c r="A27" s="245"/>
      <c r="B27" s="156" t="s">
        <v>31</v>
      </c>
      <c r="C27" s="156"/>
      <c r="D27" s="156"/>
      <c r="E27" s="156"/>
      <c r="F27" s="156"/>
      <c r="G27" s="258" t="s">
        <v>32</v>
      </c>
      <c r="H27" s="259"/>
      <c r="I27" s="259"/>
      <c r="J27" s="259"/>
      <c r="K27" s="231"/>
      <c r="L27" s="232"/>
      <c r="M27" s="232"/>
      <c r="N27" s="232"/>
      <c r="O27" s="232"/>
      <c r="P27" s="232"/>
      <c r="Q27" s="232"/>
      <c r="R27" s="232"/>
      <c r="S27" s="232"/>
      <c r="T27" s="233"/>
    </row>
    <row r="28" spans="1:20" ht="9" customHeight="1">
      <c r="A28" s="245"/>
      <c r="B28" s="156"/>
      <c r="C28" s="156"/>
      <c r="D28" s="156"/>
      <c r="E28" s="156"/>
      <c r="F28" s="156"/>
      <c r="G28" s="43">
        <v>1</v>
      </c>
      <c r="H28" s="35" t="s">
        <v>33</v>
      </c>
      <c r="I28" s="38"/>
      <c r="J28" s="37" t="s">
        <v>34</v>
      </c>
      <c r="K28" s="80"/>
      <c r="L28" s="247" t="s">
        <v>35</v>
      </c>
      <c r="M28" s="248"/>
      <c r="N28" s="249"/>
      <c r="O28" s="249"/>
      <c r="P28" s="249"/>
      <c r="Q28" s="249"/>
      <c r="R28" s="249"/>
      <c r="S28" s="249"/>
      <c r="T28" s="250"/>
    </row>
    <row r="29" spans="1:20" ht="9" customHeight="1" thickBot="1">
      <c r="A29" s="246"/>
      <c r="B29" s="156"/>
      <c r="C29" s="156"/>
      <c r="D29" s="156"/>
      <c r="E29" s="156"/>
      <c r="F29" s="156"/>
      <c r="G29" s="43"/>
      <c r="H29" s="35"/>
      <c r="I29" s="42"/>
      <c r="J29" s="36"/>
      <c r="K29" s="249"/>
      <c r="L29" s="249"/>
      <c r="M29" s="249"/>
      <c r="N29" s="249"/>
      <c r="O29" s="249"/>
      <c r="P29" s="249"/>
      <c r="Q29" s="249"/>
      <c r="R29" s="249"/>
      <c r="S29" s="249"/>
      <c r="T29" s="250"/>
    </row>
    <row r="30" spans="1:20" ht="8.25" customHeight="1">
      <c r="A30" s="235" t="s">
        <v>36</v>
      </c>
      <c r="B30" s="236"/>
      <c r="C30" s="236"/>
      <c r="D30" s="236"/>
      <c r="E30" s="236"/>
      <c r="F30" s="236"/>
      <c r="G30" s="236"/>
      <c r="H30" s="236"/>
      <c r="I30" s="236"/>
      <c r="J30" s="236"/>
      <c r="K30" s="236"/>
      <c r="L30" s="236"/>
      <c r="M30" s="236"/>
      <c r="N30" s="236"/>
      <c r="O30" s="236"/>
      <c r="P30" s="236"/>
      <c r="Q30" s="236"/>
      <c r="R30" s="236"/>
      <c r="S30" s="236"/>
      <c r="T30" s="237"/>
    </row>
    <row r="31" spans="1:20" ht="9.75" customHeight="1">
      <c r="A31" s="104" t="s">
        <v>37</v>
      </c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6"/>
    </row>
    <row r="32" spans="1:20" ht="9.75" customHeight="1">
      <c r="A32" s="124" t="s">
        <v>38</v>
      </c>
      <c r="B32" s="125"/>
      <c r="C32" s="125"/>
      <c r="D32" s="125"/>
      <c r="E32" s="125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111"/>
      <c r="T32" s="112"/>
    </row>
    <row r="33" spans="1:20" ht="9.75" customHeight="1">
      <c r="A33" s="77"/>
      <c r="B33" s="240" t="s">
        <v>39</v>
      </c>
      <c r="C33" s="241"/>
      <c r="D33" s="241"/>
      <c r="E33" s="241"/>
      <c r="F33" s="241"/>
      <c r="G33" s="8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3"/>
    </row>
    <row r="34" spans="1:20" ht="9.75" customHeight="1">
      <c r="A34" s="126" t="s">
        <v>40</v>
      </c>
      <c r="B34" s="127"/>
      <c r="C34" s="127"/>
      <c r="D34" s="127"/>
      <c r="E34" s="127"/>
      <c r="F34" s="69" t="s">
        <v>41</v>
      </c>
      <c r="G34" s="70"/>
      <c r="H34" s="71"/>
      <c r="I34" s="72"/>
      <c r="J34" s="76"/>
      <c r="K34" s="3"/>
      <c r="L34" s="37"/>
      <c r="M34" s="73" t="s">
        <v>42</v>
      </c>
      <c r="N34" s="37"/>
      <c r="O34" s="115" t="s">
        <v>43</v>
      </c>
      <c r="P34" s="115"/>
      <c r="Q34" s="115"/>
      <c r="R34" s="38" t="s">
        <v>44</v>
      </c>
      <c r="S34" s="113"/>
      <c r="T34" s="114"/>
    </row>
    <row r="35" spans="1:20" ht="9.75" customHeight="1">
      <c r="A35" s="128"/>
      <c r="B35" s="129"/>
      <c r="C35" s="129"/>
      <c r="D35" s="129"/>
      <c r="E35" s="129"/>
      <c r="F35" s="130"/>
      <c r="K35" s="67"/>
      <c r="L35" s="3"/>
      <c r="N35" s="131" t="s">
        <v>45</v>
      </c>
      <c r="O35" s="131"/>
      <c r="P35" s="10"/>
      <c r="Q35" s="131" t="s">
        <v>45</v>
      </c>
      <c r="R35" s="131"/>
      <c r="S35" s="115"/>
      <c r="T35" s="116"/>
    </row>
    <row r="36" spans="1:20" ht="9.75" customHeight="1">
      <c r="A36" s="134"/>
      <c r="B36" s="135"/>
      <c r="C36" s="135"/>
      <c r="D36" s="135"/>
      <c r="E36" s="135"/>
      <c r="F36" s="130"/>
      <c r="G36" s="39" t="s">
        <v>33</v>
      </c>
      <c r="H36" s="74" t="s">
        <v>46</v>
      </c>
      <c r="I36" s="37" t="s">
        <v>34</v>
      </c>
      <c r="K36" s="67"/>
      <c r="L36" s="3"/>
      <c r="M36" s="68" t="s">
        <v>47</v>
      </c>
      <c r="N36" s="119"/>
      <c r="O36" s="119"/>
      <c r="P36" s="68" t="s">
        <v>48</v>
      </c>
      <c r="Q36" s="120"/>
      <c r="R36" s="120"/>
      <c r="S36" s="117">
        <f>IF(R34="SI","INDEFINIDO",IF(R34="","",IFERROR(EDATE(N36,1),"")))</f>
        <v>31</v>
      </c>
      <c r="T36" s="118"/>
    </row>
    <row r="37" spans="1:20" ht="9.75" customHeight="1">
      <c r="A37" s="143"/>
      <c r="B37" s="144"/>
      <c r="C37" s="144"/>
      <c r="D37" s="144"/>
      <c r="E37" s="144"/>
      <c r="F37" s="69"/>
      <c r="G37" s="70"/>
      <c r="H37" s="71"/>
      <c r="I37" s="72"/>
      <c r="K37" s="3"/>
      <c r="L37" s="37"/>
      <c r="M37" s="73" t="s">
        <v>42</v>
      </c>
      <c r="N37" s="37"/>
      <c r="O37" s="115"/>
      <c r="P37" s="115"/>
      <c r="Q37" s="115"/>
      <c r="R37" s="38"/>
      <c r="S37" s="113"/>
      <c r="T37" s="114"/>
    </row>
    <row r="38" spans="1:20" ht="9.75" customHeight="1">
      <c r="A38" s="128"/>
      <c r="B38" s="129"/>
      <c r="C38" s="129"/>
      <c r="D38" s="129"/>
      <c r="E38" s="129"/>
      <c r="F38" s="145"/>
      <c r="K38" s="67"/>
      <c r="L38" s="3"/>
      <c r="N38" s="131" t="s">
        <v>45</v>
      </c>
      <c r="O38" s="131"/>
      <c r="P38" s="10"/>
      <c r="Q38" s="131" t="s">
        <v>45</v>
      </c>
      <c r="R38" s="131"/>
      <c r="S38" s="115"/>
      <c r="T38" s="116"/>
    </row>
    <row r="39" spans="1:20" ht="9.75" customHeight="1">
      <c r="A39" s="134"/>
      <c r="B39" s="135"/>
      <c r="C39" s="135"/>
      <c r="D39" s="135"/>
      <c r="E39" s="135"/>
      <c r="F39" s="145"/>
      <c r="G39" s="39" t="s">
        <v>33</v>
      </c>
      <c r="H39" s="74" t="s">
        <v>46</v>
      </c>
      <c r="I39" s="37" t="s">
        <v>34</v>
      </c>
      <c r="K39" s="67"/>
      <c r="L39" s="3"/>
      <c r="M39" s="68" t="s">
        <v>47</v>
      </c>
      <c r="N39" s="152" t="str">
        <f>IF(R37="SI",$T$5,IF(R37="","",$T$5))</f>
        <v/>
      </c>
      <c r="O39" s="152"/>
      <c r="P39" s="68" t="s">
        <v>48</v>
      </c>
      <c r="Q39" s="110" t="str">
        <f>IF(N39=" "," ",S39)</f>
        <v/>
      </c>
      <c r="R39" s="110"/>
      <c r="S39" s="117" t="str">
        <f>IF(R37="SI","INDEFINIDO",IF(R37="","",IFERROR(EDATE(N39,1),"")))</f>
        <v/>
      </c>
      <c r="T39" s="118"/>
    </row>
    <row r="40" spans="1:20" ht="9.75" customHeight="1">
      <c r="A40" s="139"/>
      <c r="B40" s="140"/>
      <c r="C40" s="140"/>
      <c r="D40" s="140"/>
      <c r="E40" s="140"/>
      <c r="F40" s="75"/>
      <c r="G40" s="75"/>
      <c r="H40" s="75"/>
      <c r="I40" s="75"/>
      <c r="J40" s="75"/>
      <c r="K40" s="75"/>
      <c r="M40" s="238" t="s">
        <v>49</v>
      </c>
      <c r="N40" s="238"/>
      <c r="O40" s="238"/>
      <c r="P40" s="238"/>
      <c r="Q40" s="238"/>
      <c r="R40" s="238"/>
      <c r="S40" s="238"/>
      <c r="T40" s="239"/>
    </row>
    <row r="41" spans="1:20" ht="9" customHeight="1">
      <c r="A41" s="78" t="s">
        <v>50</v>
      </c>
      <c r="B41" s="81"/>
      <c r="C41" s="81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2"/>
    </row>
    <row r="42" spans="1:20" ht="2.25" customHeight="1" thickBot="1">
      <c r="A42" s="136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8"/>
    </row>
    <row r="43" spans="1:20" ht="9.75" customHeight="1">
      <c r="A43" s="146" t="s">
        <v>51</v>
      </c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8"/>
      <c r="O43" s="149" t="s">
        <v>52</v>
      </c>
      <c r="P43" s="150"/>
      <c r="Q43" s="150"/>
      <c r="R43" s="150"/>
      <c r="S43" s="150"/>
      <c r="T43" s="151"/>
    </row>
    <row r="44" spans="1:20" ht="42" customHeight="1">
      <c r="A44" s="121" t="s">
        <v>53</v>
      </c>
      <c r="B44" s="122"/>
      <c r="C44" s="122"/>
      <c r="D44" s="122"/>
      <c r="E44" s="122"/>
      <c r="F44" s="122"/>
      <c r="G44" s="122"/>
      <c r="H44" s="122"/>
      <c r="I44" s="122"/>
      <c r="J44" s="123" t="s">
        <v>54</v>
      </c>
      <c r="K44" s="123"/>
      <c r="L44" s="123"/>
      <c r="M44" s="123"/>
      <c r="N44" s="123"/>
      <c r="O44" s="122" t="s">
        <v>55</v>
      </c>
      <c r="P44" s="122"/>
      <c r="Q44" s="122"/>
      <c r="R44" s="122"/>
      <c r="S44" s="122"/>
      <c r="T44" s="266"/>
    </row>
    <row r="45" spans="1:20" ht="6" customHeight="1">
      <c r="A45" s="280" t="s">
        <v>56</v>
      </c>
      <c r="B45" s="218"/>
      <c r="C45" s="220"/>
      <c r="D45" s="220"/>
      <c r="E45" s="220"/>
      <c r="F45" s="220"/>
      <c r="G45" s="220"/>
      <c r="H45" s="220"/>
      <c r="I45" s="283"/>
      <c r="J45" s="218" t="s">
        <v>56</v>
      </c>
      <c r="K45" s="218"/>
      <c r="L45" s="220"/>
      <c r="M45" s="220"/>
      <c r="N45" s="283"/>
      <c r="O45" s="218" t="s">
        <v>56</v>
      </c>
      <c r="P45" s="220"/>
      <c r="Q45" s="220"/>
      <c r="R45" s="220"/>
      <c r="S45" s="220"/>
      <c r="T45" s="221"/>
    </row>
    <row r="46" spans="1:20" ht="7.5" customHeight="1">
      <c r="A46" s="267"/>
      <c r="B46" s="219"/>
      <c r="C46" s="220"/>
      <c r="D46" s="220"/>
      <c r="E46" s="220"/>
      <c r="F46" s="220"/>
      <c r="G46" s="220"/>
      <c r="H46" s="220"/>
      <c r="I46" s="283"/>
      <c r="J46" s="219"/>
      <c r="K46" s="219"/>
      <c r="L46" s="220"/>
      <c r="M46" s="220"/>
      <c r="N46" s="283"/>
      <c r="O46" s="219"/>
      <c r="P46" s="220"/>
      <c r="Q46" s="220"/>
      <c r="R46" s="220"/>
      <c r="S46" s="220"/>
      <c r="T46" s="221"/>
    </row>
    <row r="47" spans="1:20" ht="22.5" customHeight="1">
      <c r="A47" s="267"/>
      <c r="B47" s="219"/>
      <c r="C47" s="220"/>
      <c r="D47" s="220"/>
      <c r="E47" s="220"/>
      <c r="F47" s="220"/>
      <c r="G47" s="220"/>
      <c r="H47" s="220"/>
      <c r="I47" s="283"/>
      <c r="J47" s="219"/>
      <c r="K47" s="219"/>
      <c r="L47" s="220"/>
      <c r="M47" s="220"/>
      <c r="N47" s="283"/>
      <c r="O47" s="219"/>
      <c r="P47" s="220"/>
      <c r="Q47" s="220"/>
      <c r="R47" s="220"/>
      <c r="S47" s="220"/>
      <c r="T47" s="221"/>
    </row>
    <row r="48" spans="1:20" ht="9.75" customHeight="1">
      <c r="A48" s="264" t="s">
        <v>57</v>
      </c>
      <c r="B48" s="265"/>
      <c r="C48" s="122" t="str">
        <f>IF(ISBLANK(G5)," ",CONCATENATE(E12," ",J12," ",N12," ",R12))</f>
        <v xml:space="preserve">   </v>
      </c>
      <c r="D48" s="122"/>
      <c r="E48" s="122"/>
      <c r="F48" s="122"/>
      <c r="G48" s="122"/>
      <c r="H48" s="122"/>
      <c r="I48" s="122"/>
      <c r="J48" s="282" t="s">
        <v>57</v>
      </c>
      <c r="K48" s="282"/>
      <c r="L48" s="276" t="str">
        <f>IF(ISBLANK(B8), " ", B8)</f>
        <v xml:space="preserve"> </v>
      </c>
      <c r="M48" s="276"/>
      <c r="N48" s="276"/>
      <c r="O48" s="101" t="s">
        <v>57</v>
      </c>
      <c r="P48" s="277"/>
      <c r="Q48" s="278"/>
      <c r="R48" s="278"/>
      <c r="S48" s="278"/>
      <c r="T48" s="279"/>
    </row>
    <row r="49" spans="1:20" s="10" customFormat="1" ht="9.75" customHeight="1">
      <c r="A49" s="281" t="s">
        <v>58</v>
      </c>
      <c r="B49" s="282"/>
      <c r="C49" s="122" t="str">
        <f>IF(ISBLANK(E14), " ", E14)</f>
        <v xml:space="preserve"> </v>
      </c>
      <c r="D49" s="122"/>
      <c r="E49" s="122"/>
      <c r="F49" s="122"/>
      <c r="G49" s="122"/>
      <c r="H49" s="122"/>
      <c r="I49" s="122"/>
      <c r="J49" s="282" t="s">
        <v>58</v>
      </c>
      <c r="K49" s="282"/>
      <c r="L49" s="122" t="str">
        <f>IF(ISBLANK(M8), " ", M8)</f>
        <v xml:space="preserve"> </v>
      </c>
      <c r="M49" s="122"/>
      <c r="N49" s="122"/>
      <c r="O49" s="102" t="s">
        <v>58</v>
      </c>
      <c r="P49" s="271"/>
      <c r="Q49" s="271"/>
      <c r="R49" s="271"/>
      <c r="S49" s="271"/>
      <c r="T49" s="272"/>
    </row>
    <row r="50" spans="1:20" ht="9.75" customHeight="1">
      <c r="A50" s="281" t="s">
        <v>23</v>
      </c>
      <c r="B50" s="282"/>
      <c r="C50" s="270" t="str">
        <f>IF(ISBLANK(E15), " ", E15)</f>
        <v xml:space="preserve"> </v>
      </c>
      <c r="D50" s="270"/>
      <c r="E50" s="270"/>
      <c r="F50" s="270"/>
      <c r="G50" s="270"/>
      <c r="H50" s="270"/>
      <c r="I50" s="270"/>
      <c r="J50" s="284" t="s">
        <v>23</v>
      </c>
      <c r="K50" s="284"/>
      <c r="L50" s="270" t="str">
        <f>IF(ISBLANK(Q8), " ", Q8)</f>
        <v>Director/a</v>
      </c>
      <c r="M50" s="270"/>
      <c r="N50" s="270"/>
      <c r="O50" s="103" t="s">
        <v>23</v>
      </c>
      <c r="P50" s="262"/>
      <c r="Q50" s="262"/>
      <c r="R50" s="262"/>
      <c r="S50" s="262"/>
      <c r="T50" s="263"/>
    </row>
    <row r="51" spans="1:20" ht="9" customHeight="1">
      <c r="A51" s="267"/>
      <c r="B51" s="219"/>
      <c r="C51" s="219"/>
      <c r="D51" s="219"/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103" t="s">
        <v>59</v>
      </c>
      <c r="P51" s="262"/>
      <c r="Q51" s="262"/>
      <c r="R51" s="262"/>
      <c r="S51" s="262"/>
      <c r="T51" s="263"/>
    </row>
    <row r="52" spans="1:20" ht="10.5" customHeight="1" thickBot="1">
      <c r="A52" s="273" t="s">
        <v>39</v>
      </c>
      <c r="B52" s="274"/>
      <c r="C52" s="274"/>
      <c r="D52" s="274"/>
      <c r="E52" s="275" t="str">
        <f>IF(ISBLANK(G5)," ", G5)</f>
        <v>P - Dirección de Tecnologías de la Información y Comunicación</v>
      </c>
      <c r="F52" s="275"/>
      <c r="G52" s="275"/>
      <c r="H52" s="275"/>
      <c r="I52" s="275"/>
      <c r="J52" s="275"/>
      <c r="K52" s="275"/>
      <c r="L52" s="275"/>
      <c r="M52" s="275"/>
      <c r="N52" s="275"/>
      <c r="O52" s="268"/>
      <c r="P52" s="268"/>
      <c r="Q52" s="268"/>
      <c r="R52" s="268"/>
      <c r="S52" s="268"/>
      <c r="T52" s="269"/>
    </row>
  </sheetData>
  <mergeCells count="127">
    <mergeCell ref="P51:T51"/>
    <mergeCell ref="A48:B48"/>
    <mergeCell ref="O44:T44"/>
    <mergeCell ref="A51:N51"/>
    <mergeCell ref="O52:T52"/>
    <mergeCell ref="L49:N49"/>
    <mergeCell ref="L50:N50"/>
    <mergeCell ref="P49:T49"/>
    <mergeCell ref="P50:T50"/>
    <mergeCell ref="A52:D52"/>
    <mergeCell ref="E52:N52"/>
    <mergeCell ref="C49:I49"/>
    <mergeCell ref="C50:I50"/>
    <mergeCell ref="C48:I48"/>
    <mergeCell ref="L48:N48"/>
    <mergeCell ref="P48:T48"/>
    <mergeCell ref="A45:B47"/>
    <mergeCell ref="A49:B49"/>
    <mergeCell ref="A50:B50"/>
    <mergeCell ref="C45:I47"/>
    <mergeCell ref="J48:K48"/>
    <mergeCell ref="J49:K49"/>
    <mergeCell ref="J50:K50"/>
    <mergeCell ref="L45:N47"/>
    <mergeCell ref="J45:K47"/>
    <mergeCell ref="O45:O47"/>
    <mergeCell ref="P45:T47"/>
    <mergeCell ref="A3:A17"/>
    <mergeCell ref="K18:T18"/>
    <mergeCell ref="K21:T21"/>
    <mergeCell ref="B18:F22"/>
    <mergeCell ref="K22:T22"/>
    <mergeCell ref="B27:F29"/>
    <mergeCell ref="K27:T27"/>
    <mergeCell ref="B12:D13"/>
    <mergeCell ref="E12:I12"/>
    <mergeCell ref="A30:T30"/>
    <mergeCell ref="M40:T40"/>
    <mergeCell ref="B33:F33"/>
    <mergeCell ref="E15:L15"/>
    <mergeCell ref="A18:A29"/>
    <mergeCell ref="L28:M28"/>
    <mergeCell ref="K29:T29"/>
    <mergeCell ref="M15:T16"/>
    <mergeCell ref="E16:L16"/>
    <mergeCell ref="G27:J27"/>
    <mergeCell ref="B17:T17"/>
    <mergeCell ref="N28:T28"/>
    <mergeCell ref="N12:Q12"/>
    <mergeCell ref="E13:I13"/>
    <mergeCell ref="L3:O3"/>
    <mergeCell ref="R3:T3"/>
    <mergeCell ref="D3:K3"/>
    <mergeCell ref="P3:Q3"/>
    <mergeCell ref="C5:F5"/>
    <mergeCell ref="G5:P5"/>
    <mergeCell ref="B10:T10"/>
    <mergeCell ref="O8:P8"/>
    <mergeCell ref="Q8:T8"/>
    <mergeCell ref="B9:I9"/>
    <mergeCell ref="M9:N9"/>
    <mergeCell ref="Q6:S6"/>
    <mergeCell ref="B4:T4"/>
    <mergeCell ref="G6:N6"/>
    <mergeCell ref="B3:C3"/>
    <mergeCell ref="K20:T20"/>
    <mergeCell ref="B23:F26"/>
    <mergeCell ref="O26:Q26"/>
    <mergeCell ref="K19:T19"/>
    <mergeCell ref="E14:K14"/>
    <mergeCell ref="B16:D16"/>
    <mergeCell ref="Q1:T1"/>
    <mergeCell ref="A1:D1"/>
    <mergeCell ref="E1:P1"/>
    <mergeCell ref="B6:F6"/>
    <mergeCell ref="R13:T13"/>
    <mergeCell ref="Q5:S5"/>
    <mergeCell ref="R12:T12"/>
    <mergeCell ref="M8:N8"/>
    <mergeCell ref="N13:Q13"/>
    <mergeCell ref="B8:F8"/>
    <mergeCell ref="M14:P14"/>
    <mergeCell ref="Q14:T14"/>
    <mergeCell ref="B14:D14"/>
    <mergeCell ref="B15:D15"/>
    <mergeCell ref="B11:T11"/>
    <mergeCell ref="J12:M12"/>
    <mergeCell ref="Q9:T9"/>
    <mergeCell ref="J13:M13"/>
    <mergeCell ref="A44:I44"/>
    <mergeCell ref="J44:N44"/>
    <mergeCell ref="A32:E32"/>
    <mergeCell ref="A34:E34"/>
    <mergeCell ref="O34:Q34"/>
    <mergeCell ref="A35:E35"/>
    <mergeCell ref="F35:F36"/>
    <mergeCell ref="N35:O35"/>
    <mergeCell ref="H33:T33"/>
    <mergeCell ref="Q35:R35"/>
    <mergeCell ref="A36:E36"/>
    <mergeCell ref="A42:T42"/>
    <mergeCell ref="A40:E40"/>
    <mergeCell ref="D41:T41"/>
    <mergeCell ref="A37:E37"/>
    <mergeCell ref="O37:Q37"/>
    <mergeCell ref="A38:E38"/>
    <mergeCell ref="F38:F39"/>
    <mergeCell ref="N38:O38"/>
    <mergeCell ref="Q38:R38"/>
    <mergeCell ref="A43:N43"/>
    <mergeCell ref="O43:T43"/>
    <mergeCell ref="A39:E39"/>
    <mergeCell ref="N39:O39"/>
    <mergeCell ref="A31:T31"/>
    <mergeCell ref="O23:Q23"/>
    <mergeCell ref="O24:Q24"/>
    <mergeCell ref="O25:Q25"/>
    <mergeCell ref="Q39:R39"/>
    <mergeCell ref="S32:T32"/>
    <mergeCell ref="S34:T34"/>
    <mergeCell ref="S35:T35"/>
    <mergeCell ref="S36:T36"/>
    <mergeCell ref="S37:T37"/>
    <mergeCell ref="S38:T38"/>
    <mergeCell ref="S39:T39"/>
    <mergeCell ref="N36:O36"/>
    <mergeCell ref="Q36:R36"/>
  </mergeCells>
  <conditionalFormatting sqref="C5">
    <cfRule type="cellIs" dxfId="21" priority="176" operator="equal">
      <formula>0</formula>
    </cfRule>
  </conditionalFormatting>
  <conditionalFormatting sqref="G5">
    <cfRule type="cellIs" dxfId="20" priority="175" stopIfTrue="1" operator="equal">
      <formula>0</formula>
    </cfRule>
  </conditionalFormatting>
  <conditionalFormatting sqref="M9">
    <cfRule type="cellIs" dxfId="19" priority="49" stopIfTrue="1" operator="equal">
      <formula>"(Número de Cédula NO VÁLIDO)"</formula>
    </cfRule>
  </conditionalFormatting>
  <conditionalFormatting sqref="Q5:S5">
    <cfRule type="cellIs" dxfId="18" priority="35" stopIfTrue="1" operator="equal">
      <formula>" "</formula>
    </cfRule>
  </conditionalFormatting>
  <conditionalFormatting sqref="B8:F8">
    <cfRule type="cellIs" dxfId="17" priority="18" stopIfTrue="1" operator="equal">
      <formula>0</formula>
    </cfRule>
    <cfRule type="cellIs" dxfId="16" priority="33" stopIfTrue="1" operator="equal">
      <formula>"  "</formula>
    </cfRule>
  </conditionalFormatting>
  <conditionalFormatting sqref="M8:N8">
    <cfRule type="cellIs" dxfId="15" priority="32" stopIfTrue="1" operator="equal">
      <formula>0</formula>
    </cfRule>
  </conditionalFormatting>
  <conditionalFormatting sqref="T5">
    <cfRule type="cellIs" dxfId="14" priority="30" stopIfTrue="1" operator="equal">
      <formula>""" """</formula>
    </cfRule>
  </conditionalFormatting>
  <conditionalFormatting sqref="E12:I12">
    <cfRule type="cellIs" dxfId="13" priority="28" stopIfTrue="1" operator="equal">
      <formula>0</formula>
    </cfRule>
  </conditionalFormatting>
  <conditionalFormatting sqref="J12:M12">
    <cfRule type="cellIs" dxfId="12" priority="27" stopIfTrue="1" operator="equal">
      <formula>0</formula>
    </cfRule>
  </conditionalFormatting>
  <conditionalFormatting sqref="N12:Q12">
    <cfRule type="cellIs" dxfId="11" priority="26" stopIfTrue="1" operator="equal">
      <formula>0</formula>
    </cfRule>
  </conditionalFormatting>
  <conditionalFormatting sqref="R12:T12">
    <cfRule type="cellIs" dxfId="10" priority="25" stopIfTrue="1" operator="equal">
      <formula>0</formula>
    </cfRule>
  </conditionalFormatting>
  <conditionalFormatting sqref="E14:K14">
    <cfRule type="cellIs" dxfId="9" priority="23" stopIfTrue="1" operator="equal">
      <formula>0</formula>
    </cfRule>
  </conditionalFormatting>
  <conditionalFormatting sqref="E15:L15">
    <cfRule type="cellIs" dxfId="8" priority="21" stopIfTrue="1" operator="equal">
      <formula>0</formula>
    </cfRule>
  </conditionalFormatting>
  <conditionalFormatting sqref="E16">
    <cfRule type="cellIs" dxfId="7" priority="20" stopIfTrue="1" operator="equal">
      <formula>0</formula>
    </cfRule>
  </conditionalFormatting>
  <conditionalFormatting sqref="M14:P14">
    <cfRule type="cellIs" dxfId="6" priority="11" stopIfTrue="1" operator="equal">
      <formula>0</formula>
    </cfRule>
  </conditionalFormatting>
  <conditionalFormatting sqref="Q9">
    <cfRule type="cellIs" dxfId="5" priority="10" stopIfTrue="1" operator="equal">
      <formula>"(Número de Cédula NO VÁLIDO)"</formula>
    </cfRule>
  </conditionalFormatting>
  <conditionalFormatting sqref="Q8:T8">
    <cfRule type="cellIs" dxfId="4" priority="8" stopIfTrue="1" operator="equal">
      <formula>0</formula>
    </cfRule>
  </conditionalFormatting>
  <conditionalFormatting sqref="A36:E36">
    <cfRule type="cellIs" dxfId="3" priority="7" stopIfTrue="1" operator="equal">
      <formula>0</formula>
    </cfRule>
  </conditionalFormatting>
  <conditionalFormatting sqref="A39:E39">
    <cfRule type="cellIs" dxfId="2" priority="6" stopIfTrue="1" operator="equal">
      <formula>0</formula>
    </cfRule>
  </conditionalFormatting>
  <conditionalFormatting sqref="A35:E35">
    <cfRule type="cellIs" dxfId="1" priority="4" operator="equal">
      <formula>0</formula>
    </cfRule>
  </conditionalFormatting>
  <conditionalFormatting sqref="A38:E38">
    <cfRule type="cellIs" dxfId="0" priority="3" operator="equal">
      <formula>0</formula>
    </cfRule>
  </conditionalFormatting>
  <dataValidations count="12">
    <dataValidation type="list" allowBlank="1" showInputMessage="1" showErrorMessage="1" sqref="C5:F5 P51:T51" xr:uid="{00000000-0002-0000-0000-000000000000}">
      <formula1>DIRECCION</formula1>
    </dataValidation>
    <dataValidation type="list" allowBlank="1" showInputMessage="1" showErrorMessage="1" sqref="G5:P5" xr:uid="{00000000-0002-0000-0000-000001000000}">
      <formula1>INDIRECT(C5)</formula1>
    </dataValidation>
    <dataValidation type="list" allowBlank="1" showInputMessage="1" showErrorMessage="1" sqref="I28 R34 R37" xr:uid="{00000000-0002-0000-0000-000002000000}">
      <formula1>OPCION</formula1>
    </dataValidation>
    <dataValidation operator="equal" allowBlank="1" showInputMessage="1" showErrorMessage="1" errorTitle="Número mal digitado" error="Número de cédula mal digitado" promptTitle="Cédula de Ciudadanía" prompt="10 Dígitos numéricos" sqref="E14:K14" xr:uid="{00000000-0002-0000-0000-000003000000}"/>
    <dataValidation allowBlank="1" showInputMessage="1" showErrorMessage="1" errorTitle="Número mal digitado" error="Número de cédula mal digitado" promptTitle="Cédula de Ciudadanía" prompt="Digite 10 números" sqref="B14:D14" xr:uid="{00000000-0002-0000-0000-000004000000}"/>
    <dataValidation type="list" allowBlank="1" showInputMessage="1" showErrorMessage="1" sqref="S23:S25" xr:uid="{00000000-0002-0000-0000-000005000000}">
      <formula1>INDIRECT(#REF!)</formula1>
    </dataValidation>
    <dataValidation type="textLength" operator="equal" allowBlank="1" showInputMessage="1" showErrorMessage="1" errorTitle="La cédula tiene 10 digitos numer" error="Número de cédula mal digitado" promptTitle="Cédula de Ciudadanía" prompt="Digite 10 números " sqref="M8:N8" xr:uid="{00000000-0002-0000-0000-000006000000}">
      <formula1>10</formula1>
    </dataValidation>
    <dataValidation type="list" allowBlank="1" showInputMessage="1" showErrorMessage="1" sqref="Q8:T8 P50:T50" xr:uid="{00000000-0002-0000-0000-000007000000}">
      <formula1>JEFE</formula1>
    </dataValidation>
    <dataValidation type="list" allowBlank="1" showInputMessage="1" showErrorMessage="1" sqref="O52:T52" xr:uid="{00000000-0002-0000-0000-000008000000}">
      <formula1>INDIRECT($P$51)</formula1>
    </dataValidation>
    <dataValidation operator="equal" allowBlank="1" showInputMessage="1" showErrorMessage="1" errorTitle="Cedula errónea" error="Cedula mal digitada" promptTitle="Cédula de ciudadania" prompt="10 dígitos numéricos" sqref="P49:T49" xr:uid="{00000000-0002-0000-0000-000009000000}"/>
    <dataValidation type="custom" showErrorMessage="1" errorTitle="DATO NO REQUERIDO" error="No debe ingresar ninguna Fecha" sqref="Q36:R36 Q39:R39" xr:uid="{00000000-0002-0000-0000-00000A000000}">
      <formula1>R34="NO"</formula1>
    </dataValidation>
    <dataValidation type="list" allowBlank="1" showInputMessage="1" showErrorMessage="1" sqref="H36 H39" xr:uid="{00000000-0002-0000-0000-00000B000000}">
      <formula1>ACCESO</formula1>
    </dataValidation>
  </dataValidations>
  <hyperlinks>
    <hyperlink ref="B3:C3" location="'Manual de uso'!A1" display="Ver instructivo" xr:uid="{00000000-0004-0000-0000-000000000000}"/>
  </hyperlinks>
  <printOptions horizontalCentered="1"/>
  <pageMargins left="0.23622047244094491" right="0.23622047244094491" top="0" bottom="0" header="0.31496062992125984" footer="0.31496062992125984"/>
  <pageSetup paperSize="9" orientation="portrait" horizontalDpi="360" verticalDpi="360" r:id="rId1"/>
  <headerFooter scaleWithDoc="0">
    <oddFooter>&amp;C&amp;"-,Negrita"&amp;8“Este documento es de propiedad exclusiva de la ARCERNNR. Se prohíbe su uso no autorizado”.&amp;"-,Normal"
GESTIÓN DE TECNOLOGÍA DE LA INFORMACIÓN Y COMUNICACIONES&amp;R&amp;"-,Negrita"&amp;8&amp;P/&amp;N</oddFoot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C000000}">
          <x14:formula1>
            <xm:f>DATOS!$AE$5:$AE$9</xm:f>
          </x14:formula1>
          <xm:sqref>K22:T22</xm:sqref>
        </x14:dataValidation>
        <x14:dataValidation type="list" allowBlank="1" showInputMessage="1" showErrorMessage="1" xr:uid="{00000000-0002-0000-0000-00000D000000}">
          <x14:formula1>
            <xm:f>DATOS!$AE$11:$AE$13</xm:f>
          </x14:formula1>
          <xm:sqref>O23:Q25 L26</xm:sqref>
        </x14:dataValidation>
        <x14:dataValidation type="list" allowBlank="1" showInputMessage="1" showErrorMessage="1" xr:uid="{00000000-0002-0000-0000-00000E000000}">
          <x14:formula1>
            <xm:f>DATOS!$AE$5:$AE$10</xm:f>
          </x14:formula1>
          <xm:sqref>K18:T21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H65"/>
  <sheetViews>
    <sheetView topLeftCell="A2" zoomScale="130" zoomScaleNormal="130" workbookViewId="0">
      <selection activeCell="F2" sqref="F2:H2"/>
    </sheetView>
  </sheetViews>
  <sheetFormatPr defaultColWidth="11.42578125" defaultRowHeight="15"/>
  <sheetData>
    <row r="1" spans="1:8" ht="56.25" hidden="1" customHeight="1">
      <c r="A1" s="286"/>
      <c r="B1" s="286"/>
      <c r="C1" s="285" t="s">
        <v>60</v>
      </c>
      <c r="D1" s="285"/>
      <c r="E1" s="285"/>
      <c r="F1" s="285"/>
      <c r="G1" s="285"/>
      <c r="H1" s="32"/>
    </row>
    <row r="2" spans="1:8" ht="21">
      <c r="A2" s="61"/>
      <c r="B2" s="62"/>
      <c r="C2" s="62"/>
      <c r="D2" s="62"/>
      <c r="E2" s="62"/>
      <c r="F2" s="290" t="s">
        <v>61</v>
      </c>
      <c r="G2" s="290"/>
      <c r="H2" s="291"/>
    </row>
    <row r="3" spans="1:8" ht="18.75">
      <c r="A3" s="63"/>
      <c r="H3" s="64"/>
    </row>
    <row r="4" spans="1:8">
      <c r="A4" s="65" t="s">
        <v>62</v>
      </c>
      <c r="B4" s="31" t="s">
        <v>63</v>
      </c>
      <c r="C4" s="31"/>
      <c r="H4" s="64"/>
    </row>
    <row r="5" spans="1:8">
      <c r="A5" s="66"/>
      <c r="H5" s="64"/>
    </row>
    <row r="6" spans="1:8" ht="45" customHeight="1">
      <c r="A6" s="66"/>
      <c r="B6" s="292" t="s">
        <v>64</v>
      </c>
      <c r="C6" s="292"/>
      <c r="D6" s="292"/>
      <c r="E6" s="292"/>
      <c r="F6" s="292"/>
      <c r="G6" s="292"/>
      <c r="H6" s="293"/>
    </row>
    <row r="7" spans="1:8" ht="3" customHeight="1">
      <c r="A7" s="66"/>
      <c r="H7" s="64"/>
    </row>
    <row r="8" spans="1:8" ht="46.5" customHeight="1">
      <c r="A8" s="294" t="s">
        <v>65</v>
      </c>
      <c r="B8" s="295"/>
      <c r="C8" s="295"/>
      <c r="D8" s="295"/>
      <c r="E8" s="295"/>
      <c r="F8" s="295"/>
      <c r="G8" s="295"/>
      <c r="H8" s="64"/>
    </row>
    <row r="9" spans="1:8">
      <c r="A9" s="66"/>
      <c r="H9" s="64"/>
    </row>
    <row r="10" spans="1:8">
      <c r="A10" s="65" t="s">
        <v>66</v>
      </c>
      <c r="B10" s="31" t="s">
        <v>67</v>
      </c>
      <c r="H10" s="64"/>
    </row>
    <row r="11" spans="1:8" ht="6.75" customHeight="1">
      <c r="A11" s="66"/>
      <c r="H11" s="64"/>
    </row>
    <row r="12" spans="1:8" ht="6.75" customHeight="1">
      <c r="A12" s="66"/>
      <c r="H12" s="64"/>
    </row>
    <row r="13" spans="1:8" ht="42.75" customHeight="1">
      <c r="A13" s="66"/>
      <c r="B13" s="296" t="s">
        <v>68</v>
      </c>
      <c r="C13" s="297"/>
      <c r="D13" s="297"/>
      <c r="E13" s="297"/>
      <c r="F13" s="297"/>
      <c r="G13" s="297"/>
      <c r="H13" s="298"/>
    </row>
    <row r="14" spans="1:8" ht="34.5" customHeight="1">
      <c r="A14" s="287" t="s">
        <v>69</v>
      </c>
      <c r="B14" s="288"/>
      <c r="C14" s="288"/>
      <c r="D14" s="288"/>
      <c r="E14" s="288"/>
      <c r="F14" s="288"/>
      <c r="G14" s="288"/>
      <c r="H14" s="289"/>
    </row>
    <row r="15" spans="1:8" ht="48.75" customHeight="1">
      <c r="A15" s="294" t="s">
        <v>70</v>
      </c>
      <c r="B15" s="295"/>
      <c r="C15" s="295"/>
      <c r="D15" s="295"/>
      <c r="E15" s="295"/>
      <c r="F15" s="295"/>
      <c r="G15" s="295"/>
      <c r="H15" s="64"/>
    </row>
    <row r="16" spans="1:8" ht="23.25" customHeight="1">
      <c r="A16" s="66"/>
      <c r="H16" s="64"/>
    </row>
    <row r="17" spans="1:8">
      <c r="A17" s="65" t="s">
        <v>71</v>
      </c>
      <c r="B17" s="31" t="s">
        <v>72</v>
      </c>
      <c r="H17" s="64"/>
    </row>
    <row r="18" spans="1:8" ht="21.75" customHeight="1">
      <c r="A18" s="307" t="s">
        <v>73</v>
      </c>
      <c r="B18" s="292"/>
      <c r="C18" s="292"/>
      <c r="D18" s="292"/>
      <c r="E18" s="292"/>
      <c r="F18" s="292"/>
      <c r="G18" s="292"/>
      <c r="H18" s="293"/>
    </row>
    <row r="19" spans="1:8" ht="15.75" customHeight="1">
      <c r="A19" s="307" t="s">
        <v>74</v>
      </c>
      <c r="B19" s="292"/>
      <c r="C19" s="292"/>
      <c r="D19" s="292"/>
      <c r="E19" s="292"/>
      <c r="F19" s="292"/>
      <c r="G19" s="292"/>
      <c r="H19" s="293"/>
    </row>
    <row r="20" spans="1:8" ht="39" customHeight="1">
      <c r="A20" s="304" t="s">
        <v>75</v>
      </c>
      <c r="B20" s="305"/>
      <c r="C20" s="305"/>
      <c r="D20" s="305"/>
      <c r="E20" s="305"/>
      <c r="F20" s="305"/>
      <c r="G20" s="305"/>
      <c r="H20" s="306"/>
    </row>
    <row r="21" spans="1:8">
      <c r="A21" s="66"/>
      <c r="H21" s="64"/>
    </row>
    <row r="22" spans="1:8">
      <c r="A22" s="66"/>
      <c r="H22" s="64"/>
    </row>
    <row r="23" spans="1:8">
      <c r="A23" s="66"/>
      <c r="H23" s="64"/>
    </row>
    <row r="24" spans="1:8">
      <c r="A24" s="66"/>
      <c r="H24" s="64"/>
    </row>
    <row r="25" spans="1:8">
      <c r="A25" s="66" t="s">
        <v>76</v>
      </c>
      <c r="H25" s="64"/>
    </row>
    <row r="26" spans="1:8">
      <c r="A26" s="66"/>
      <c r="H26" s="64"/>
    </row>
    <row r="27" spans="1:8">
      <c r="A27" s="66"/>
      <c r="H27" s="64"/>
    </row>
    <row r="28" spans="1:8">
      <c r="A28" s="66"/>
      <c r="H28" s="64"/>
    </row>
    <row r="29" spans="1:8">
      <c r="A29" s="66"/>
      <c r="H29" s="64"/>
    </row>
    <row r="30" spans="1:8">
      <c r="A30" s="66"/>
      <c r="H30" s="64"/>
    </row>
    <row r="31" spans="1:8">
      <c r="A31" s="66"/>
      <c r="H31" s="64"/>
    </row>
    <row r="32" spans="1:8">
      <c r="A32" s="66"/>
      <c r="H32" s="64"/>
    </row>
    <row r="33" spans="1:8">
      <c r="A33" s="66"/>
      <c r="H33" s="64"/>
    </row>
    <row r="34" spans="1:8">
      <c r="A34" s="66"/>
      <c r="H34" s="64"/>
    </row>
    <row r="35" spans="1:8">
      <c r="A35" s="66"/>
      <c r="H35" s="64"/>
    </row>
    <row r="36" spans="1:8">
      <c r="A36" s="66" t="s">
        <v>77</v>
      </c>
      <c r="H36" s="64"/>
    </row>
    <row r="37" spans="1:8">
      <c r="A37" s="66"/>
      <c r="H37" s="64"/>
    </row>
    <row r="38" spans="1:8">
      <c r="A38" s="66"/>
      <c r="H38" s="64"/>
    </row>
    <row r="39" spans="1:8">
      <c r="A39" s="66"/>
      <c r="H39" s="64"/>
    </row>
    <row r="40" spans="1:8">
      <c r="A40" s="66"/>
      <c r="H40" s="64"/>
    </row>
    <row r="41" spans="1:8">
      <c r="A41" s="66"/>
      <c r="H41" s="64"/>
    </row>
    <row r="42" spans="1:8">
      <c r="A42" s="65" t="s">
        <v>78</v>
      </c>
      <c r="B42" s="31" t="s">
        <v>79</v>
      </c>
      <c r="H42" s="64"/>
    </row>
    <row r="43" spans="1:8" ht="17.25" customHeight="1">
      <c r="A43" s="299" t="s">
        <v>80</v>
      </c>
      <c r="B43" s="299"/>
      <c r="C43" s="299"/>
      <c r="D43" s="299"/>
      <c r="E43" s="299"/>
      <c r="F43" s="299"/>
      <c r="G43" s="299"/>
      <c r="H43" s="299"/>
    </row>
    <row r="50" spans="1:8">
      <c r="A50" s="299" t="s">
        <v>81</v>
      </c>
      <c r="B50" s="299"/>
      <c r="C50" s="299"/>
      <c r="D50" s="299"/>
      <c r="E50" s="299"/>
      <c r="F50" s="299"/>
      <c r="G50" s="299"/>
      <c r="H50" s="299"/>
    </row>
    <row r="57" spans="1:8" ht="34.5" customHeight="1">
      <c r="A57" s="292" t="s">
        <v>82</v>
      </c>
      <c r="B57" s="300"/>
      <c r="C57" s="300"/>
      <c r="D57" s="300"/>
      <c r="E57" s="300"/>
      <c r="F57" s="300"/>
      <c r="G57" s="300"/>
      <c r="H57" s="300"/>
    </row>
    <row r="65" spans="1:8" ht="42" customHeight="1">
      <c r="A65" s="301" t="s">
        <v>83</v>
      </c>
      <c r="B65" s="302"/>
      <c r="C65" s="302"/>
      <c r="D65" s="302"/>
      <c r="E65" s="302"/>
      <c r="F65" s="302"/>
      <c r="G65" s="302"/>
      <c r="H65" s="303"/>
    </row>
  </sheetData>
  <mergeCells count="15">
    <mergeCell ref="A43:H43"/>
    <mergeCell ref="A50:H50"/>
    <mergeCell ref="A57:H57"/>
    <mergeCell ref="A65:H65"/>
    <mergeCell ref="A15:G15"/>
    <mergeCell ref="A20:H20"/>
    <mergeCell ref="A19:H19"/>
    <mergeCell ref="A18:H18"/>
    <mergeCell ref="C1:G1"/>
    <mergeCell ref="A1:B1"/>
    <mergeCell ref="A14:H14"/>
    <mergeCell ref="F2:H2"/>
    <mergeCell ref="B6:H6"/>
    <mergeCell ref="A8:G8"/>
    <mergeCell ref="B13:H13"/>
  </mergeCells>
  <hyperlinks>
    <hyperlink ref="F2:H2" location="'Solicitud_Anexo A'!A1" display="Regresar al formulario" xr:uid="{00000000-0004-0000-0100-000000000000}"/>
  </hyperlinks>
  <pageMargins left="0.31496062992125984" right="0.31496062992125984" top="0.74803149606299213" bottom="0.74803149606299213" header="0.31496062992125984" footer="0.31496062992125984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H60"/>
  <sheetViews>
    <sheetView zoomScale="85" zoomScaleNormal="85" workbookViewId="0">
      <selection activeCell="A5" sqref="A5"/>
    </sheetView>
  </sheetViews>
  <sheetFormatPr defaultColWidth="11.42578125" defaultRowHeight="15"/>
  <cols>
    <col min="1" max="1" width="40.28515625" customWidth="1"/>
    <col min="3" max="3" width="64.5703125" customWidth="1"/>
    <col min="4" max="4" width="35.28515625" customWidth="1"/>
    <col min="5" max="5" width="15.7109375" customWidth="1"/>
    <col min="8" max="8" width="21.5703125" customWidth="1"/>
    <col min="9" max="10" width="19.42578125" customWidth="1"/>
    <col min="13" max="13" width="15.85546875" customWidth="1"/>
    <col min="14" max="14" width="21.5703125" customWidth="1"/>
    <col min="15" max="15" width="14.28515625" customWidth="1"/>
    <col min="16" max="16" width="23.85546875" customWidth="1"/>
    <col min="17" max="17" width="16.28515625" customWidth="1"/>
    <col min="24" max="24" width="23.7109375" customWidth="1"/>
    <col min="27" max="27" width="21.5703125" customWidth="1"/>
    <col min="28" max="28" width="11.42578125" customWidth="1"/>
    <col min="30" max="30" width="41.140625" customWidth="1"/>
    <col min="31" max="31" width="55.28515625" customWidth="1"/>
    <col min="33" max="33" width="35.42578125" customWidth="1"/>
    <col min="42" max="42" width="18.85546875" customWidth="1"/>
    <col min="59" max="59" width="21.140625" customWidth="1"/>
    <col min="60" max="60" width="11.42578125" style="84"/>
  </cols>
  <sheetData>
    <row r="1" spans="1:60" ht="29.25">
      <c r="A1" t="s">
        <v>84</v>
      </c>
      <c r="B1" t="s">
        <v>85</v>
      </c>
      <c r="C1" t="s">
        <v>8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s="31" t="s">
        <v>93</v>
      </c>
      <c r="L1" s="31"/>
      <c r="M1" s="87" t="s">
        <v>94</v>
      </c>
      <c r="N1" s="87" t="s">
        <v>95</v>
      </c>
      <c r="O1" s="87" t="s">
        <v>96</v>
      </c>
      <c r="P1" s="18" t="s">
        <v>97</v>
      </c>
      <c r="Q1" s="19" t="s">
        <v>98</v>
      </c>
      <c r="R1" s="19" t="s">
        <v>99</v>
      </c>
      <c r="S1" s="19" t="s">
        <v>100</v>
      </c>
      <c r="T1" s="19" t="s">
        <v>101</v>
      </c>
      <c r="U1" s="19" t="s">
        <v>102</v>
      </c>
      <c r="V1" s="19" t="s">
        <v>103</v>
      </c>
      <c r="W1" s="19" t="s">
        <v>104</v>
      </c>
      <c r="X1" s="19" t="s">
        <v>105</v>
      </c>
      <c r="Y1" s="19" t="s">
        <v>99</v>
      </c>
      <c r="Z1" s="19" t="s">
        <v>100</v>
      </c>
      <c r="AA1" s="19" t="s">
        <v>106</v>
      </c>
      <c r="AB1" s="19" t="s">
        <v>107</v>
      </c>
      <c r="AC1" s="19" t="s">
        <v>108</v>
      </c>
      <c r="AD1" s="30" t="s">
        <v>44</v>
      </c>
      <c r="AE1" t="s">
        <v>109</v>
      </c>
      <c r="AF1" t="s">
        <v>110</v>
      </c>
      <c r="AG1" t="s">
        <v>111</v>
      </c>
      <c r="AH1" t="s">
        <v>112</v>
      </c>
      <c r="AI1" t="s">
        <v>113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  <c r="AQ1" t="s">
        <v>121</v>
      </c>
      <c r="AR1" t="s">
        <v>122</v>
      </c>
      <c r="AS1" t="s">
        <v>123</v>
      </c>
      <c r="AT1" t="s">
        <v>124</v>
      </c>
      <c r="AU1" t="s">
        <v>125</v>
      </c>
      <c r="AV1" t="s">
        <v>126</v>
      </c>
      <c r="AW1" t="s">
        <v>127</v>
      </c>
      <c r="AX1" t="s">
        <v>128</v>
      </c>
      <c r="AY1" t="s">
        <v>129</v>
      </c>
      <c r="AZ1" t="s">
        <v>130</v>
      </c>
      <c r="BA1" t="s">
        <v>131</v>
      </c>
      <c r="BB1" t="s">
        <v>132</v>
      </c>
      <c r="BC1" t="s">
        <v>133</v>
      </c>
      <c r="BD1" t="s">
        <v>134</v>
      </c>
      <c r="BG1" s="31" t="s">
        <v>135</v>
      </c>
      <c r="BH1" s="86" t="s">
        <v>136</v>
      </c>
    </row>
    <row r="2" spans="1:60" ht="75">
      <c r="A2" s="5" t="s">
        <v>8</v>
      </c>
      <c r="B2" t="s">
        <v>108</v>
      </c>
      <c r="C2" t="s">
        <v>137</v>
      </c>
      <c r="D2" t="s">
        <v>138</v>
      </c>
      <c r="E2" s="14" t="s">
        <v>139</v>
      </c>
      <c r="F2" s="14" t="s">
        <v>140</v>
      </c>
      <c r="G2" s="14" t="s">
        <v>141</v>
      </c>
      <c r="H2" s="14" t="s">
        <v>142</v>
      </c>
      <c r="I2" s="14" t="s">
        <v>143</v>
      </c>
      <c r="J2" s="17" t="s">
        <v>144</v>
      </c>
      <c r="M2" s="15" t="s">
        <v>97</v>
      </c>
      <c r="N2" s="9" t="s">
        <v>145</v>
      </c>
      <c r="O2" s="9"/>
      <c r="P2" s="16" t="s">
        <v>146</v>
      </c>
      <c r="Q2" s="16" t="s">
        <v>147</v>
      </c>
      <c r="R2" s="16"/>
      <c r="S2" s="16"/>
      <c r="T2" s="16"/>
      <c r="U2" s="16"/>
      <c r="V2" s="16"/>
      <c r="W2" s="16"/>
      <c r="X2" s="6" t="s">
        <v>148</v>
      </c>
      <c r="Y2" s="24" t="s">
        <v>149</v>
      </c>
      <c r="Z2" s="24" t="s">
        <v>150</v>
      </c>
      <c r="AA2" s="26" t="s">
        <v>151</v>
      </c>
      <c r="AB2" s="26" t="s">
        <v>108</v>
      </c>
      <c r="AC2" s="23" t="s">
        <v>152</v>
      </c>
      <c r="AD2" s="27" t="s">
        <v>153</v>
      </c>
      <c r="AE2" s="33" t="s">
        <v>154</v>
      </c>
      <c r="AG2" t="s">
        <v>155</v>
      </c>
      <c r="AJ2" t="s">
        <v>156</v>
      </c>
      <c r="AK2" t="s">
        <v>157</v>
      </c>
      <c r="AL2" t="s">
        <v>158</v>
      </c>
      <c r="AM2" t="s">
        <v>159</v>
      </c>
      <c r="AN2" t="s">
        <v>160</v>
      </c>
      <c r="AO2" t="s">
        <v>161</v>
      </c>
      <c r="AP2" t="s">
        <v>162</v>
      </c>
      <c r="AQ2" t="s">
        <v>163</v>
      </c>
      <c r="AR2" t="s">
        <v>163</v>
      </c>
      <c r="AS2" t="s">
        <v>163</v>
      </c>
      <c r="AT2" t="s">
        <v>163</v>
      </c>
      <c r="AU2" t="s">
        <v>163</v>
      </c>
      <c r="AV2" t="s">
        <v>163</v>
      </c>
      <c r="AW2" t="s">
        <v>163</v>
      </c>
      <c r="AX2" t="s">
        <v>163</v>
      </c>
      <c r="AY2" t="s">
        <v>163</v>
      </c>
      <c r="AZ2" t="s">
        <v>163</v>
      </c>
      <c r="BA2" t="s">
        <v>163</v>
      </c>
      <c r="BB2" t="s">
        <v>163</v>
      </c>
      <c r="BC2" t="s">
        <v>163</v>
      </c>
      <c r="BD2" t="s">
        <v>163</v>
      </c>
      <c r="BG2" s="84" t="s">
        <v>164</v>
      </c>
      <c r="BH2" s="84" t="s">
        <v>165</v>
      </c>
    </row>
    <row r="3" spans="1:60" ht="60">
      <c r="A3" t="s">
        <v>86</v>
      </c>
      <c r="B3" t="s">
        <v>44</v>
      </c>
      <c r="C3" t="s">
        <v>166</v>
      </c>
      <c r="D3" t="s">
        <v>167</v>
      </c>
      <c r="E3" t="s">
        <v>168</v>
      </c>
      <c r="F3" t="s">
        <v>46</v>
      </c>
      <c r="G3" t="s">
        <v>140</v>
      </c>
      <c r="K3" t="s">
        <v>169</v>
      </c>
      <c r="L3" t="s">
        <v>170</v>
      </c>
      <c r="M3" s="16" t="s">
        <v>98</v>
      </c>
      <c r="N3" s="16" t="s">
        <v>171</v>
      </c>
      <c r="O3" s="16"/>
      <c r="P3" s="16" t="s">
        <v>172</v>
      </c>
      <c r="Q3" s="16" t="s">
        <v>173</v>
      </c>
      <c r="R3" s="16"/>
      <c r="S3" s="16"/>
      <c r="T3" s="16"/>
      <c r="U3" s="16"/>
      <c r="V3" s="16"/>
      <c r="W3" s="16"/>
      <c r="X3" s="9" t="s">
        <v>174</v>
      </c>
      <c r="Y3" s="16"/>
      <c r="Z3" s="24" t="s">
        <v>175</v>
      </c>
      <c r="AA3" s="25" t="s">
        <v>176</v>
      </c>
      <c r="AB3" s="25" t="s">
        <v>44</v>
      </c>
      <c r="AE3" s="22" t="s">
        <v>177</v>
      </c>
      <c r="AG3" t="s">
        <v>178</v>
      </c>
      <c r="AJ3" t="s">
        <v>179</v>
      </c>
      <c r="AK3" t="s">
        <v>180</v>
      </c>
      <c r="AL3" t="s">
        <v>181</v>
      </c>
      <c r="AM3" t="s">
        <v>182</v>
      </c>
      <c r="AN3" t="s">
        <v>183</v>
      </c>
      <c r="AP3" t="s">
        <v>184</v>
      </c>
      <c r="AQ3" t="s">
        <v>185</v>
      </c>
      <c r="AR3" t="s">
        <v>185</v>
      </c>
      <c r="AS3" t="s">
        <v>185</v>
      </c>
      <c r="AT3" t="s">
        <v>185</v>
      </c>
      <c r="AU3" t="s">
        <v>185</v>
      </c>
      <c r="AV3" t="s">
        <v>185</v>
      </c>
      <c r="AW3" t="s">
        <v>185</v>
      </c>
      <c r="AX3" t="s">
        <v>185</v>
      </c>
      <c r="AY3" t="s">
        <v>185</v>
      </c>
      <c r="AZ3" t="s">
        <v>185</v>
      </c>
      <c r="BA3" t="s">
        <v>185</v>
      </c>
      <c r="BB3" t="s">
        <v>185</v>
      </c>
      <c r="BC3" t="s">
        <v>185</v>
      </c>
      <c r="BD3" t="s">
        <v>185</v>
      </c>
      <c r="BG3" s="84" t="s">
        <v>186</v>
      </c>
      <c r="BH3" s="84" t="s">
        <v>187</v>
      </c>
    </row>
    <row r="4" spans="1:60" ht="60">
      <c r="C4" t="s">
        <v>188</v>
      </c>
      <c r="D4" t="s">
        <v>189</v>
      </c>
      <c r="E4" t="s">
        <v>190</v>
      </c>
      <c r="G4" t="s">
        <v>191</v>
      </c>
      <c r="M4" s="16" t="s">
        <v>99</v>
      </c>
      <c r="N4" s="16"/>
      <c r="O4" s="16"/>
      <c r="P4" s="16" t="s">
        <v>192</v>
      </c>
      <c r="Q4" s="16" t="s">
        <v>193</v>
      </c>
      <c r="R4" s="16"/>
      <c r="S4" s="16"/>
      <c r="T4" s="16"/>
      <c r="U4" s="16"/>
      <c r="V4" s="16"/>
      <c r="W4" s="16"/>
      <c r="X4" s="9" t="s">
        <v>194</v>
      </c>
      <c r="Y4" s="16"/>
      <c r="Z4" s="24" t="s">
        <v>195</v>
      </c>
      <c r="AD4" s="34" t="s">
        <v>196</v>
      </c>
      <c r="AE4" s="34" t="s">
        <v>197</v>
      </c>
      <c r="AG4" t="s">
        <v>198</v>
      </c>
      <c r="AJ4" t="s">
        <v>199</v>
      </c>
      <c r="AK4" t="s">
        <v>200</v>
      </c>
      <c r="AL4" t="s">
        <v>201</v>
      </c>
      <c r="AM4" t="s">
        <v>202</v>
      </c>
      <c r="AN4" t="s">
        <v>203</v>
      </c>
      <c r="AP4" t="s">
        <v>204</v>
      </c>
      <c r="AQ4" t="s">
        <v>205</v>
      </c>
      <c r="AR4" t="s">
        <v>205</v>
      </c>
      <c r="AS4" t="s">
        <v>205</v>
      </c>
      <c r="AT4" t="s">
        <v>205</v>
      </c>
      <c r="AU4" t="s">
        <v>205</v>
      </c>
      <c r="AV4" t="s">
        <v>205</v>
      </c>
      <c r="AW4" t="s">
        <v>205</v>
      </c>
      <c r="AX4" t="s">
        <v>205</v>
      </c>
      <c r="AY4" t="s">
        <v>205</v>
      </c>
      <c r="AZ4" t="s">
        <v>205</v>
      </c>
      <c r="BA4" t="s">
        <v>205</v>
      </c>
      <c r="BB4" t="s">
        <v>205</v>
      </c>
      <c r="BC4" t="s">
        <v>205</v>
      </c>
      <c r="BD4" t="s">
        <v>205</v>
      </c>
      <c r="BG4" s="84" t="s">
        <v>206</v>
      </c>
      <c r="BH4" s="84" t="s">
        <v>207</v>
      </c>
    </row>
    <row r="5" spans="1:60" ht="90">
      <c r="A5" t="s">
        <v>208</v>
      </c>
      <c r="C5" t="s">
        <v>209</v>
      </c>
      <c r="D5" s="14"/>
      <c r="G5" t="s">
        <v>210</v>
      </c>
      <c r="M5" s="16" t="s">
        <v>100</v>
      </c>
      <c r="N5" s="16"/>
      <c r="O5" s="16"/>
      <c r="P5" s="16" t="s">
        <v>211</v>
      </c>
      <c r="Q5" s="16" t="s">
        <v>212</v>
      </c>
      <c r="S5" s="16"/>
      <c r="T5" s="16"/>
      <c r="U5" s="16"/>
      <c r="V5" s="16"/>
      <c r="W5" s="16"/>
      <c r="X5" s="9" t="s">
        <v>213</v>
      </c>
      <c r="Y5" s="16"/>
      <c r="AD5" t="s">
        <v>214</v>
      </c>
      <c r="AE5" s="14" t="s">
        <v>215</v>
      </c>
      <c r="AG5" t="s">
        <v>216</v>
      </c>
      <c r="AJ5" t="s">
        <v>217</v>
      </c>
      <c r="AL5" t="s">
        <v>218</v>
      </c>
      <c r="AM5" t="s">
        <v>219</v>
      </c>
      <c r="AN5" t="s">
        <v>220</v>
      </c>
      <c r="AP5" t="s">
        <v>221</v>
      </c>
      <c r="AQ5" t="s">
        <v>222</v>
      </c>
      <c r="AR5" t="s">
        <v>222</v>
      </c>
      <c r="AS5" t="s">
        <v>222</v>
      </c>
      <c r="AT5" t="s">
        <v>222</v>
      </c>
      <c r="AU5" t="s">
        <v>222</v>
      </c>
      <c r="AV5" t="s">
        <v>222</v>
      </c>
      <c r="AW5" t="s">
        <v>222</v>
      </c>
      <c r="AX5" t="s">
        <v>222</v>
      </c>
      <c r="AY5" t="s">
        <v>222</v>
      </c>
      <c r="AZ5" t="s">
        <v>222</v>
      </c>
      <c r="BA5" t="s">
        <v>222</v>
      </c>
      <c r="BB5" t="s">
        <v>222</v>
      </c>
      <c r="BC5" t="s">
        <v>222</v>
      </c>
      <c r="BD5" t="s">
        <v>222</v>
      </c>
      <c r="BG5" s="84"/>
      <c r="BH5" s="84" t="s">
        <v>223</v>
      </c>
    </row>
    <row r="6" spans="1:60" ht="58.5">
      <c r="A6" t="s">
        <v>224</v>
      </c>
      <c r="C6" t="s">
        <v>225</v>
      </c>
      <c r="D6" s="14"/>
      <c r="M6" s="16" t="s">
        <v>101</v>
      </c>
      <c r="N6" s="16" t="s">
        <v>171</v>
      </c>
      <c r="O6" s="16"/>
      <c r="P6" s="16" t="s">
        <v>226</v>
      </c>
      <c r="Q6" s="16" t="s">
        <v>227</v>
      </c>
      <c r="R6" s="16"/>
      <c r="S6" s="16"/>
      <c r="T6" s="16"/>
      <c r="U6" s="16"/>
      <c r="V6" s="16"/>
      <c r="W6" s="16"/>
      <c r="X6" s="9" t="s">
        <v>228</v>
      </c>
      <c r="Y6" s="16"/>
      <c r="AA6" s="31" t="s">
        <v>229</v>
      </c>
      <c r="AD6" t="s">
        <v>230</v>
      </c>
      <c r="AE6" s="14" t="s">
        <v>231</v>
      </c>
      <c r="AG6" t="s">
        <v>232</v>
      </c>
      <c r="AL6" t="s">
        <v>233</v>
      </c>
      <c r="AP6" t="s">
        <v>234</v>
      </c>
    </row>
    <row r="7" spans="1:60" ht="39">
      <c r="A7" t="s">
        <v>235</v>
      </c>
      <c r="C7" t="s">
        <v>236</v>
      </c>
      <c r="D7" s="14"/>
      <c r="M7" s="16" t="s">
        <v>102</v>
      </c>
      <c r="N7" s="16" t="s">
        <v>171</v>
      </c>
      <c r="O7" s="16" t="s">
        <v>237</v>
      </c>
      <c r="P7" s="16"/>
      <c r="Q7" s="16" t="s">
        <v>238</v>
      </c>
      <c r="R7" s="16"/>
      <c r="S7" s="16"/>
      <c r="T7" s="16"/>
      <c r="U7" s="16"/>
      <c r="V7" s="16"/>
      <c r="W7" s="16"/>
      <c r="X7" s="9" t="s">
        <v>239</v>
      </c>
      <c r="Y7" s="16"/>
      <c r="AA7" t="s">
        <v>16</v>
      </c>
      <c r="AD7" t="s">
        <v>240</v>
      </c>
      <c r="AE7" s="14" t="s">
        <v>241</v>
      </c>
      <c r="AG7" t="s">
        <v>242</v>
      </c>
      <c r="AP7" t="s">
        <v>243</v>
      </c>
    </row>
    <row r="8" spans="1:60" ht="39">
      <c r="A8" t="s">
        <v>244</v>
      </c>
      <c r="C8" t="s">
        <v>245</v>
      </c>
      <c r="D8" s="14"/>
      <c r="M8" s="16" t="s">
        <v>103</v>
      </c>
      <c r="N8" s="16" t="s">
        <v>246</v>
      </c>
      <c r="O8" s="16"/>
      <c r="Q8" s="16" t="s">
        <v>247</v>
      </c>
      <c r="R8" s="16"/>
      <c r="S8" s="16"/>
      <c r="T8" s="16"/>
      <c r="U8" s="16"/>
      <c r="V8" s="16"/>
      <c r="W8" s="16"/>
      <c r="X8" s="9" t="s">
        <v>248</v>
      </c>
      <c r="Y8" s="16"/>
      <c r="AA8" t="s">
        <v>249</v>
      </c>
      <c r="AD8" t="s">
        <v>250</v>
      </c>
      <c r="AE8" s="14" t="s">
        <v>251</v>
      </c>
      <c r="AG8" t="s">
        <v>252</v>
      </c>
      <c r="AP8" t="s">
        <v>253</v>
      </c>
    </row>
    <row r="9" spans="1:60" ht="58.5">
      <c r="C9" t="s">
        <v>254</v>
      </c>
      <c r="D9" s="14"/>
      <c r="M9" s="16" t="s">
        <v>104</v>
      </c>
      <c r="N9" s="16" t="s">
        <v>255</v>
      </c>
      <c r="O9" s="16"/>
      <c r="P9" s="16"/>
      <c r="Q9" s="16" t="s">
        <v>256</v>
      </c>
      <c r="R9" s="16"/>
      <c r="S9" s="16"/>
      <c r="T9" s="16"/>
      <c r="U9" s="16"/>
      <c r="V9" s="16"/>
      <c r="W9" s="16"/>
      <c r="X9" s="6" t="s">
        <v>257</v>
      </c>
      <c r="Y9" s="16"/>
      <c r="AA9" t="s">
        <v>258</v>
      </c>
      <c r="AD9" t="s">
        <v>259</v>
      </c>
      <c r="AE9" s="14" t="s">
        <v>260</v>
      </c>
      <c r="AG9" t="s">
        <v>261</v>
      </c>
      <c r="AP9" t="s">
        <v>262</v>
      </c>
    </row>
    <row r="10" spans="1:60" ht="39">
      <c r="C10" t="s">
        <v>110</v>
      </c>
      <c r="D10" s="14"/>
      <c r="M10" s="16"/>
      <c r="N10" s="16"/>
      <c r="O10" s="16"/>
      <c r="P10" s="16"/>
      <c r="Q10" s="16" t="s">
        <v>263</v>
      </c>
      <c r="R10" s="16"/>
      <c r="S10" s="16"/>
      <c r="T10" s="16"/>
      <c r="U10" s="16"/>
      <c r="V10" s="16"/>
      <c r="W10" s="16"/>
      <c r="X10" s="16"/>
      <c r="Y10" s="16"/>
      <c r="AD10" t="s">
        <v>264</v>
      </c>
      <c r="AE10" s="14" t="s">
        <v>265</v>
      </c>
      <c r="AG10" t="s">
        <v>266</v>
      </c>
    </row>
    <row r="11" spans="1:60" ht="70.5" customHeight="1">
      <c r="C11" t="s">
        <v>267</v>
      </c>
      <c r="D11" s="14"/>
      <c r="M11" s="16"/>
      <c r="N11" s="16"/>
      <c r="O11" s="16"/>
      <c r="P11" s="16"/>
      <c r="Q11" s="16" t="s">
        <v>268</v>
      </c>
      <c r="R11" s="16"/>
      <c r="S11" s="16"/>
      <c r="T11" s="16"/>
      <c r="U11" s="16"/>
      <c r="V11" s="16"/>
      <c r="W11" s="16"/>
      <c r="X11" s="16"/>
      <c r="Y11" s="16"/>
      <c r="AD11" t="s">
        <v>269</v>
      </c>
      <c r="AE11" s="14" t="s">
        <v>270</v>
      </c>
      <c r="AG11" t="s">
        <v>271</v>
      </c>
    </row>
    <row r="12" spans="1:60" ht="39">
      <c r="C12" t="s">
        <v>272</v>
      </c>
      <c r="D12" s="14"/>
      <c r="M12" s="16"/>
      <c r="N12" s="16"/>
      <c r="O12" s="16"/>
      <c r="P12" s="16"/>
      <c r="Q12" s="16" t="s">
        <v>273</v>
      </c>
      <c r="R12" s="16"/>
      <c r="S12" s="16"/>
      <c r="T12" s="16"/>
      <c r="U12" s="16"/>
      <c r="V12" s="16"/>
      <c r="W12" s="16"/>
      <c r="X12" s="16"/>
      <c r="Y12" s="16"/>
      <c r="AD12" t="s">
        <v>274</v>
      </c>
      <c r="AE12" s="14" t="s">
        <v>275</v>
      </c>
      <c r="AG12" t="s">
        <v>276</v>
      </c>
    </row>
    <row r="13" spans="1:60" ht="48.75">
      <c r="C13" t="s">
        <v>277</v>
      </c>
      <c r="D13" s="14"/>
      <c r="M13" s="16"/>
      <c r="N13" s="16"/>
      <c r="O13" s="16"/>
      <c r="P13" s="16"/>
      <c r="Q13" s="16" t="s">
        <v>278</v>
      </c>
      <c r="R13" s="16"/>
      <c r="S13" s="16"/>
      <c r="T13" s="16"/>
      <c r="U13" s="16"/>
      <c r="V13" s="16"/>
      <c r="W13" s="16"/>
      <c r="X13" s="16"/>
      <c r="Y13" s="16"/>
      <c r="AD13" t="s">
        <v>279</v>
      </c>
      <c r="AE13" s="14" t="s">
        <v>280</v>
      </c>
      <c r="AG13" t="s">
        <v>281</v>
      </c>
    </row>
    <row r="14" spans="1:60" ht="60.75" customHeight="1">
      <c r="C14" t="s">
        <v>282</v>
      </c>
      <c r="D14" s="14"/>
      <c r="M14" s="16"/>
      <c r="N14" s="16"/>
      <c r="O14" s="16"/>
      <c r="P14" s="16"/>
      <c r="Q14" s="85" t="s">
        <v>283</v>
      </c>
      <c r="R14" s="16"/>
      <c r="S14" s="16"/>
      <c r="T14" s="16"/>
      <c r="U14" s="16"/>
      <c r="V14" s="16"/>
      <c r="W14" s="16"/>
      <c r="X14" s="16"/>
      <c r="Y14" s="16"/>
      <c r="AD14" t="s">
        <v>284</v>
      </c>
      <c r="AG14" t="s">
        <v>285</v>
      </c>
    </row>
    <row r="15" spans="1:60" ht="39">
      <c r="C15" t="s">
        <v>286</v>
      </c>
      <c r="D15" s="14"/>
      <c r="M15" s="16"/>
      <c r="N15" s="16"/>
      <c r="O15" s="16"/>
      <c r="P15" s="16"/>
      <c r="Q15" s="85" t="s">
        <v>287</v>
      </c>
      <c r="R15" s="16"/>
      <c r="S15" s="16"/>
      <c r="T15" s="16"/>
      <c r="U15" s="16"/>
      <c r="V15" s="16"/>
      <c r="W15" s="16"/>
      <c r="X15" s="16"/>
      <c r="Y15" s="16"/>
      <c r="AD15" t="s">
        <v>288</v>
      </c>
      <c r="AG15" t="s">
        <v>289</v>
      </c>
    </row>
    <row r="16" spans="1:60" ht="60" customHeight="1">
      <c r="C16" t="s">
        <v>290</v>
      </c>
      <c r="D16" s="14"/>
      <c r="E16" s="4"/>
      <c r="M16" s="16"/>
      <c r="N16" s="16"/>
      <c r="O16" s="16"/>
      <c r="P16" s="16"/>
      <c r="Q16" s="16" t="s">
        <v>291</v>
      </c>
      <c r="S16" s="16"/>
      <c r="T16" s="16"/>
      <c r="U16" s="16"/>
      <c r="V16" s="16"/>
      <c r="W16" s="16"/>
      <c r="X16" s="16"/>
      <c r="Y16" s="16"/>
      <c r="AD16" t="s">
        <v>292</v>
      </c>
      <c r="AG16" t="s">
        <v>293</v>
      </c>
    </row>
    <row r="17" spans="3:33" ht="46.5" customHeight="1">
      <c r="C17" t="s">
        <v>294</v>
      </c>
      <c r="D17" s="14"/>
      <c r="E17" s="4"/>
      <c r="M17" s="16"/>
      <c r="N17" s="16"/>
      <c r="O17" s="16"/>
      <c r="P17" s="16"/>
      <c r="Q17" s="16" t="s">
        <v>295</v>
      </c>
      <c r="R17" s="16"/>
      <c r="S17" s="16"/>
      <c r="T17" s="16"/>
      <c r="U17" s="16"/>
      <c r="V17" s="16"/>
      <c r="W17" s="16"/>
      <c r="X17" s="16"/>
      <c r="Y17" s="16"/>
      <c r="AD17" t="s">
        <v>296</v>
      </c>
      <c r="AG17" t="s">
        <v>297</v>
      </c>
    </row>
    <row r="18" spans="3:33" ht="46.5" customHeight="1">
      <c r="C18" t="s">
        <v>298</v>
      </c>
      <c r="D18" s="14"/>
      <c r="E18" s="4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AD18" t="s">
        <v>299</v>
      </c>
      <c r="AG18" t="s">
        <v>300</v>
      </c>
    </row>
    <row r="19" spans="3:33" ht="40.5" customHeight="1">
      <c r="C19" t="s">
        <v>301</v>
      </c>
      <c r="D19" s="14"/>
      <c r="E19" s="4"/>
      <c r="M19" s="16"/>
      <c r="N19" s="16"/>
      <c r="O19" s="16"/>
      <c r="P19" s="16"/>
      <c r="Q19" s="16" t="s">
        <v>302</v>
      </c>
      <c r="AD19" t="s">
        <v>303</v>
      </c>
      <c r="AG19" t="s">
        <v>304</v>
      </c>
    </row>
    <row r="20" spans="3:33" ht="29.25">
      <c r="C20" t="s">
        <v>305</v>
      </c>
      <c r="D20" s="14"/>
      <c r="E20" s="4"/>
      <c r="Q20" s="16" t="s">
        <v>306</v>
      </c>
      <c r="AD20" t="s">
        <v>307</v>
      </c>
      <c r="AE20" s="14"/>
      <c r="AG20" t="s">
        <v>308</v>
      </c>
    </row>
    <row r="21" spans="3:33" ht="39">
      <c r="C21" t="s">
        <v>9</v>
      </c>
      <c r="D21" s="14"/>
      <c r="E21" s="4"/>
      <c r="Q21" s="16" t="s">
        <v>309</v>
      </c>
      <c r="AD21" t="s">
        <v>310</v>
      </c>
      <c r="AE21" s="14"/>
      <c r="AG21" t="s">
        <v>311</v>
      </c>
    </row>
    <row r="22" spans="3:33">
      <c r="C22" t="s">
        <v>312</v>
      </c>
      <c r="D22" s="14"/>
      <c r="E22" s="4"/>
      <c r="Q22" s="16"/>
      <c r="AD22" t="s">
        <v>313</v>
      </c>
      <c r="AE22" s="14"/>
    </row>
    <row r="23" spans="3:33" ht="30">
      <c r="C23" t="s">
        <v>314</v>
      </c>
      <c r="D23" s="14"/>
      <c r="E23" s="4"/>
      <c r="Q23" s="16"/>
      <c r="AD23" s="84" t="s">
        <v>315</v>
      </c>
      <c r="AE23" s="14"/>
    </row>
    <row r="24" spans="3:33">
      <c r="C24" t="s">
        <v>316</v>
      </c>
      <c r="D24" s="14"/>
      <c r="E24" s="4"/>
      <c r="Q24" s="16"/>
      <c r="AD24" t="s">
        <v>317</v>
      </c>
      <c r="AE24" s="14"/>
    </row>
    <row r="25" spans="3:33">
      <c r="C25" t="s">
        <v>318</v>
      </c>
      <c r="D25" s="14"/>
      <c r="E25" s="4"/>
      <c r="AD25" t="s">
        <v>319</v>
      </c>
      <c r="AE25" s="14"/>
    </row>
    <row r="26" spans="3:33">
      <c r="C26" t="s">
        <v>320</v>
      </c>
      <c r="E26" s="4"/>
      <c r="AD26" t="s">
        <v>321</v>
      </c>
      <c r="AE26" s="14"/>
    </row>
    <row r="27" spans="3:33">
      <c r="D27" s="14"/>
      <c r="E27" s="4"/>
      <c r="AD27" t="s">
        <v>322</v>
      </c>
      <c r="AE27" s="14"/>
    </row>
    <row r="28" spans="3:33">
      <c r="D28" s="14"/>
      <c r="E28" s="4"/>
      <c r="AD28" t="s">
        <v>323</v>
      </c>
      <c r="AE28" s="14"/>
    </row>
    <row r="29" spans="3:33">
      <c r="D29" s="14"/>
      <c r="E29" s="4"/>
      <c r="AD29" s="46" t="s">
        <v>324</v>
      </c>
    </row>
    <row r="30" spans="3:33">
      <c r="C30" s="14"/>
      <c r="D30" s="14"/>
      <c r="E30" s="4"/>
      <c r="AD30" t="s">
        <v>325</v>
      </c>
    </row>
    <row r="31" spans="3:33">
      <c r="C31" s="14"/>
      <c r="D31" s="14"/>
      <c r="E31" s="4"/>
      <c r="AD31" t="s">
        <v>326</v>
      </c>
    </row>
    <row r="32" spans="3:33">
      <c r="C32" s="14"/>
      <c r="D32" s="14"/>
      <c r="E32" s="4"/>
      <c r="AD32" t="s">
        <v>327</v>
      </c>
    </row>
    <row r="33" spans="3:30">
      <c r="C33" s="14"/>
      <c r="D33" s="14"/>
      <c r="E33" s="4"/>
      <c r="AD33" t="s">
        <v>328</v>
      </c>
    </row>
    <row r="34" spans="3:30">
      <c r="C34" s="14"/>
      <c r="D34" s="14"/>
      <c r="E34" s="4"/>
      <c r="AD34" t="s">
        <v>329</v>
      </c>
    </row>
    <row r="35" spans="3:30">
      <c r="C35" s="14"/>
      <c r="D35" s="14"/>
      <c r="E35" s="4"/>
      <c r="AD35" t="s">
        <v>330</v>
      </c>
    </row>
    <row r="36" spans="3:30" ht="30">
      <c r="D36" s="14"/>
      <c r="E36" s="4"/>
      <c r="AD36" s="84" t="s">
        <v>331</v>
      </c>
    </row>
    <row r="37" spans="3:30">
      <c r="C37" s="14"/>
      <c r="D37" s="14"/>
      <c r="E37" s="4"/>
    </row>
    <row r="38" spans="3:30">
      <c r="D38" s="14"/>
      <c r="E38" s="4"/>
    </row>
    <row r="39" spans="3:30">
      <c r="D39" s="14"/>
      <c r="E39" s="4"/>
      <c r="AD39" s="91" t="s">
        <v>332</v>
      </c>
    </row>
    <row r="40" spans="3:30">
      <c r="D40" s="14"/>
      <c r="E40" s="4"/>
      <c r="AD40" t="s">
        <v>333</v>
      </c>
    </row>
    <row r="41" spans="3:30">
      <c r="D41" s="14"/>
      <c r="E41" s="4"/>
      <c r="AD41" t="s">
        <v>334</v>
      </c>
    </row>
    <row r="42" spans="3:30">
      <c r="D42" s="14"/>
      <c r="E42" s="4"/>
      <c r="AD42" t="s">
        <v>335</v>
      </c>
    </row>
    <row r="43" spans="3:30">
      <c r="D43" s="14"/>
      <c r="E43" s="4"/>
      <c r="AD43" t="s">
        <v>336</v>
      </c>
    </row>
    <row r="44" spans="3:30">
      <c r="D44" s="14"/>
      <c r="E44" s="4"/>
      <c r="AD44" t="s">
        <v>337</v>
      </c>
    </row>
    <row r="45" spans="3:30">
      <c r="D45" s="14"/>
      <c r="E45" s="4"/>
      <c r="AD45" t="s">
        <v>338</v>
      </c>
    </row>
    <row r="46" spans="3:30">
      <c r="D46" s="14"/>
      <c r="E46" s="4"/>
      <c r="AD46" t="s">
        <v>339</v>
      </c>
    </row>
    <row r="47" spans="3:30">
      <c r="D47" s="14"/>
      <c r="E47" s="4"/>
      <c r="AD47" t="s">
        <v>340</v>
      </c>
    </row>
    <row r="48" spans="3:30">
      <c r="D48" s="14"/>
      <c r="E48" s="4"/>
      <c r="AD48" t="s">
        <v>341</v>
      </c>
    </row>
    <row r="49" spans="4:30">
      <c r="D49" s="14"/>
      <c r="E49" s="4"/>
      <c r="AD49" t="s">
        <v>342</v>
      </c>
    </row>
    <row r="50" spans="4:30">
      <c r="D50" s="14"/>
      <c r="E50" s="4"/>
      <c r="AD50" t="s">
        <v>343</v>
      </c>
    </row>
    <row r="51" spans="4:30">
      <c r="D51" s="14"/>
      <c r="E51" s="4"/>
      <c r="AD51" t="s">
        <v>344</v>
      </c>
    </row>
    <row r="52" spans="4:30">
      <c r="D52" s="14"/>
      <c r="E52" s="4"/>
      <c r="AD52" t="s">
        <v>345</v>
      </c>
    </row>
    <row r="53" spans="4:30">
      <c r="D53" s="14"/>
      <c r="E53" s="4"/>
      <c r="AD53" t="s">
        <v>345</v>
      </c>
    </row>
    <row r="54" spans="4:30">
      <c r="D54" s="14"/>
      <c r="E54" s="4"/>
    </row>
    <row r="55" spans="4:30">
      <c r="D55" s="14"/>
      <c r="E55" s="4"/>
      <c r="AD55" s="34" t="s">
        <v>346</v>
      </c>
    </row>
    <row r="56" spans="4:30">
      <c r="D56" s="14"/>
      <c r="E56" s="4"/>
      <c r="AD56" t="s">
        <v>347</v>
      </c>
    </row>
    <row r="57" spans="4:30">
      <c r="D57" s="14"/>
      <c r="E57" s="4"/>
      <c r="AD57" t="s">
        <v>348</v>
      </c>
    </row>
    <row r="58" spans="4:30">
      <c r="D58" s="14"/>
      <c r="E58" s="4"/>
      <c r="AD58" t="s">
        <v>349</v>
      </c>
    </row>
    <row r="59" spans="4:30">
      <c r="D59" s="14"/>
      <c r="AD59" t="s">
        <v>350</v>
      </c>
    </row>
    <row r="60" spans="4:30">
      <c r="AD60" t="s">
        <v>351</v>
      </c>
    </row>
  </sheetData>
  <sortState xmlns:xlrd2="http://schemas.microsoft.com/office/spreadsheetml/2017/richdata2" ref="AD6:AD35">
    <sortCondition ref="AD5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2:M36"/>
  <sheetViews>
    <sheetView topLeftCell="B16" zoomScale="78" zoomScaleNormal="78" workbookViewId="0">
      <selection activeCell="G8" sqref="G8"/>
    </sheetView>
  </sheetViews>
  <sheetFormatPr defaultColWidth="11.42578125" defaultRowHeight="15"/>
  <cols>
    <col min="2" max="2" width="20.140625" customWidth="1"/>
    <col min="5" max="6" width="19.5703125" customWidth="1"/>
    <col min="7" max="7" width="27.5703125" customWidth="1"/>
    <col min="8" max="8" width="23.42578125" customWidth="1"/>
    <col min="9" max="9" width="23.7109375" customWidth="1"/>
  </cols>
  <sheetData>
    <row r="2" spans="2:13">
      <c r="B2" t="s">
        <v>352</v>
      </c>
      <c r="E2" t="s">
        <v>353</v>
      </c>
      <c r="G2" t="s">
        <v>354</v>
      </c>
      <c r="I2" t="s">
        <v>355</v>
      </c>
      <c r="M2" t="s">
        <v>356</v>
      </c>
    </row>
    <row r="3" spans="2:13">
      <c r="B3" t="s">
        <v>353</v>
      </c>
      <c r="E3" t="s">
        <v>357</v>
      </c>
      <c r="G3" t="s">
        <v>357</v>
      </c>
      <c r="I3" t="s">
        <v>357</v>
      </c>
      <c r="M3" t="s">
        <v>358</v>
      </c>
    </row>
    <row r="4" spans="2:13">
      <c r="B4" t="s">
        <v>354</v>
      </c>
      <c r="E4" t="s">
        <v>359</v>
      </c>
      <c r="G4" t="s">
        <v>360</v>
      </c>
      <c r="I4" t="s">
        <v>361</v>
      </c>
    </row>
    <row r="5" spans="2:13">
      <c r="B5" t="s">
        <v>355</v>
      </c>
      <c r="E5" t="s">
        <v>362</v>
      </c>
      <c r="G5" t="s">
        <v>157</v>
      </c>
      <c r="I5" t="s">
        <v>363</v>
      </c>
    </row>
    <row r="6" spans="2:13">
      <c r="B6" t="s">
        <v>364</v>
      </c>
      <c r="E6" t="s">
        <v>365</v>
      </c>
      <c r="G6" t="s">
        <v>179</v>
      </c>
      <c r="I6" t="s">
        <v>366</v>
      </c>
    </row>
    <row r="7" spans="2:13">
      <c r="E7" t="s">
        <v>367</v>
      </c>
      <c r="G7" t="s">
        <v>368</v>
      </c>
      <c r="I7" t="s">
        <v>369</v>
      </c>
    </row>
    <row r="8" spans="2:13">
      <c r="E8" t="s">
        <v>370</v>
      </c>
      <c r="G8" t="s">
        <v>371</v>
      </c>
      <c r="I8" t="s">
        <v>372</v>
      </c>
    </row>
    <row r="9" spans="2:13">
      <c r="E9" t="s">
        <v>373</v>
      </c>
      <c r="G9" t="s">
        <v>374</v>
      </c>
      <c r="I9" t="s">
        <v>375</v>
      </c>
    </row>
    <row r="10" spans="2:13">
      <c r="E10" t="s">
        <v>376</v>
      </c>
      <c r="G10" t="s">
        <v>367</v>
      </c>
      <c r="I10" t="s">
        <v>377</v>
      </c>
    </row>
    <row r="11" spans="2:13">
      <c r="G11" t="s">
        <v>180</v>
      </c>
      <c r="I11" t="s">
        <v>222</v>
      </c>
    </row>
    <row r="12" spans="2:13">
      <c r="G12" t="s">
        <v>199</v>
      </c>
      <c r="I12" t="s">
        <v>378</v>
      </c>
    </row>
    <row r="13" spans="2:13">
      <c r="G13" t="s">
        <v>379</v>
      </c>
      <c r="I13" t="s">
        <v>380</v>
      </c>
    </row>
    <row r="14" spans="2:13">
      <c r="G14" t="s">
        <v>381</v>
      </c>
      <c r="I14" t="s">
        <v>382</v>
      </c>
    </row>
    <row r="15" spans="2:13">
      <c r="G15" t="s">
        <v>383</v>
      </c>
      <c r="I15" t="s">
        <v>384</v>
      </c>
    </row>
    <row r="16" spans="2:13">
      <c r="G16" t="s">
        <v>385</v>
      </c>
      <c r="I16" t="s">
        <v>386</v>
      </c>
    </row>
    <row r="17" spans="7:9">
      <c r="G17" t="s">
        <v>156</v>
      </c>
      <c r="I17" t="s">
        <v>387</v>
      </c>
    </row>
    <row r="18" spans="7:9">
      <c r="G18" t="s">
        <v>217</v>
      </c>
      <c r="I18" t="s">
        <v>388</v>
      </c>
    </row>
    <row r="19" spans="7:9">
      <c r="G19" t="s">
        <v>389</v>
      </c>
      <c r="I19" t="s">
        <v>390</v>
      </c>
    </row>
    <row r="20" spans="7:9">
      <c r="G20" t="s">
        <v>391</v>
      </c>
      <c r="I20" t="s">
        <v>392</v>
      </c>
    </row>
    <row r="21" spans="7:9">
      <c r="G21" t="s">
        <v>222</v>
      </c>
      <c r="I21" t="s">
        <v>393</v>
      </c>
    </row>
    <row r="22" spans="7:9">
      <c r="G22" t="s">
        <v>394</v>
      </c>
      <c r="I22" t="s">
        <v>395</v>
      </c>
    </row>
    <row r="23" spans="7:9">
      <c r="G23" t="s">
        <v>396</v>
      </c>
      <c r="I23" t="s">
        <v>397</v>
      </c>
    </row>
    <row r="24" spans="7:9">
      <c r="G24" t="s">
        <v>398</v>
      </c>
      <c r="I24" t="s">
        <v>399</v>
      </c>
    </row>
    <row r="25" spans="7:9">
      <c r="G25" t="s">
        <v>400</v>
      </c>
      <c r="I25" t="s">
        <v>401</v>
      </c>
    </row>
    <row r="26" spans="7:9">
      <c r="G26" t="s">
        <v>402</v>
      </c>
      <c r="I26" t="s">
        <v>403</v>
      </c>
    </row>
    <row r="27" spans="7:9">
      <c r="G27" t="s">
        <v>404</v>
      </c>
      <c r="I27" t="s">
        <v>405</v>
      </c>
    </row>
    <row r="28" spans="7:9">
      <c r="I28" t="s">
        <v>406</v>
      </c>
    </row>
    <row r="29" spans="7:9">
      <c r="I29" t="s">
        <v>407</v>
      </c>
    </row>
    <row r="30" spans="7:9">
      <c r="I30" t="s">
        <v>408</v>
      </c>
    </row>
    <row r="31" spans="7:9">
      <c r="I31" t="s">
        <v>409</v>
      </c>
    </row>
    <row r="32" spans="7:9">
      <c r="I32" t="s">
        <v>410</v>
      </c>
    </row>
    <row r="33" spans="9:9">
      <c r="I33" t="s">
        <v>411</v>
      </c>
    </row>
    <row r="34" spans="9:9">
      <c r="I34" t="s">
        <v>412</v>
      </c>
    </row>
    <row r="35" spans="9:9">
      <c r="I35" t="s">
        <v>413</v>
      </c>
    </row>
    <row r="36" spans="9:9">
      <c r="I36" t="s">
        <v>414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036889610EF9849A7A61A4A51FACEBA" ma:contentTypeVersion="11" ma:contentTypeDescription="Create a new document." ma:contentTypeScope="" ma:versionID="246db72ae25573601336e8b06de102cb">
  <xsd:schema xmlns:xsd="http://www.w3.org/2001/XMLSchema" xmlns:xs="http://www.w3.org/2001/XMLSchema" xmlns:p="http://schemas.microsoft.com/office/2006/metadata/properties" xmlns:ns2="d5814d64-c6a1-4215-ac9a-b6f664ea8c59" targetNamespace="http://schemas.microsoft.com/office/2006/metadata/properties" ma:root="true" ma:fieldsID="895ddcd4becc58a170e7a7f141d94b42" ns2:_="">
    <xsd:import namespace="d5814d64-c6a1-4215-ac9a-b6f664ea8c5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814d64-c6a1-4215-ac9a-b6f664ea8c5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list="UserInfo" ma:SearchPeopleOnly="false" ma:internalName="SharedWithUsers" ma:readOnly="fals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false">
      <xsd:simpleType>
        <xsd:restriction base="dms:Note">
          <xsd:maxLength value="255"/>
        </xsd:restriction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Details xmlns="d5814d64-c6a1-4215-ac9a-b6f664ea8c59" xsi:nil="true"/>
    <SharedWithUsers xmlns="d5814d64-c6a1-4215-ac9a-b6f664ea8c59">
      <UserInfo>
        <DisplayName/>
        <AccountId xsi:nil="true"/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C552939E-8F57-4923-9339-63C9A47D9506}"/>
</file>

<file path=customXml/itemProps2.xml><?xml version="1.0" encoding="utf-8"?>
<ds:datastoreItem xmlns:ds="http://schemas.openxmlformats.org/officeDocument/2006/customXml" ds:itemID="{7B7F9BD2-0A29-4C54-A632-978A83F8AA0C}"/>
</file>

<file path=customXml/itemProps3.xml><?xml version="1.0" encoding="utf-8"?>
<ds:datastoreItem xmlns:ds="http://schemas.openxmlformats.org/officeDocument/2006/customXml" ds:itemID="{FF30E5AE-4560-4EE3-821D-70D0F46D01F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Roxana S. Cueva C.</dc:creator>
  <cp:keywords/>
  <dc:description/>
  <cp:lastModifiedBy>Irvin Alexander Estévez Ron</cp:lastModifiedBy>
  <cp:revision/>
  <dcterms:created xsi:type="dcterms:W3CDTF">2016-07-06T13:26:22Z</dcterms:created>
  <dcterms:modified xsi:type="dcterms:W3CDTF">2025-12-17T14:03:03Z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0x0101008036889610EF9849A7A61A4A51FACEBA</vt:lpwstr>
  </property>
</Properties>
</file>